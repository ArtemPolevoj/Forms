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tem\Documents\IntelliJ_IDEA\Forms\"/>
    </mc:Choice>
  </mc:AlternateContent>
  <xr:revisionPtr revIDLastSave="0" documentId="13_ncr:1_{45CA5D12-1F53-40F2-9BA9-8C1D020BD1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Таблица" sheetId="1" r:id="rId1"/>
    <sheet name="Сводная по таблице" sheetId="5" r:id="rId2"/>
    <sheet name="Диаграмма по таблице" sheetId="3" r:id="rId3"/>
    <sheet name="Таблица к отчету" sheetId="6" r:id="rId4"/>
    <sheet name="Диаграмма к отчету" sheetId="8" r:id="rId5"/>
  </sheets>
  <definedNames>
    <definedName name="_xlnm.Print_Area" localSheetId="4">'Диаграмма к отчету'!$A$1:$P$33</definedName>
    <definedName name="_xlnm.Print_Area" localSheetId="2">'Диаграмма по таблице'!$A$1:$P$33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E4" i="6" s="1"/>
  <c r="E2" i="6"/>
  <c r="E3" i="6"/>
  <c r="D3" i="6"/>
  <c r="D2" i="6"/>
  <c r="C3" i="6"/>
  <c r="C2" i="6"/>
  <c r="B4" i="6" l="1"/>
  <c r="D4" i="6"/>
  <c r="C4" i="6"/>
</calcChain>
</file>

<file path=xl/sharedStrings.xml><?xml version="1.0" encoding="utf-8"?>
<sst xmlns="http://schemas.openxmlformats.org/spreadsheetml/2006/main" count="546" uniqueCount="345">
  <si>
    <t>ID</t>
  </si>
  <si>
    <t>Время создания</t>
  </si>
  <si>
    <t>1717963706</t>
  </si>
  <si>
    <t>Т-40.01Я</t>
  </si>
  <si>
    <t>12</t>
  </si>
  <si>
    <t>3499</t>
  </si>
  <si>
    <t>Нет</t>
  </si>
  <si>
    <t>Полевой</t>
  </si>
  <si>
    <t>Да</t>
  </si>
  <si>
    <t>норма</t>
  </si>
  <si>
    <t>Забит радиатор</t>
  </si>
  <si>
    <t>Промыть</t>
  </si>
  <si>
    <t>https://forms.yandex.ru/cloud/files?path=%2F7792313%2F662a0b29f47e739025d9e6f0_img20240411091626.jpg</t>
  </si>
  <si>
    <t>Отпотевания</t>
  </si>
  <si>
    <t xml:space="preserve">Заменить прокладки </t>
  </si>
  <si>
    <t>https://forms.yandex.ru/cloud/files?path=%2F12567251%2F662a0b5f2530c29497619f13_img20240411085022.jpg</t>
  </si>
  <si>
    <t>Течи вокруг фильтров</t>
  </si>
  <si>
    <t>Устранить течи</t>
  </si>
  <si>
    <t>https://forms.yandex.ru/cloud/files?path=%2F7792313%2F662a0c275056909059d81e25_img9378.jpg</t>
  </si>
  <si>
    <t>нет</t>
  </si>
  <si>
    <t>Согласовано</t>
  </si>
  <si>
    <t>Заявка на закуп</t>
  </si>
  <si>
    <t xml:space="preserve"> Машина</t>
  </si>
  <si>
    <t xml:space="preserve"> Серийный номер</t>
  </si>
  <si>
    <t xml:space="preserve"> Хозяйственный номер</t>
  </si>
  <si>
    <t xml:space="preserve"> Наработка</t>
  </si>
  <si>
    <t xml:space="preserve"> Исполнитель</t>
  </si>
  <si>
    <t xml:space="preserve"> Общий вид машины</t>
  </si>
  <si>
    <t xml:space="preserve"> 101 Свяжитесь с клиентом, чтобы узнать о жалобах оператора</t>
  </si>
  <si>
    <t xml:space="preserve"> 102 Подготовьте машину к проверке</t>
  </si>
  <si>
    <t xml:space="preserve"> 103 Проведение проверки безопасности/подготовительной проверки</t>
  </si>
  <si>
    <t xml:space="preserve"> 104 Загрузка кодов неисправностей машины</t>
  </si>
  <si>
    <t xml:space="preserve"> 105 Обратите внимание на цвет выхлопных газов двигателя</t>
  </si>
  <si>
    <t xml:space="preserve"> 106 Прислушивайтесь к необычным шумам</t>
  </si>
  <si>
    <t xml:space="preserve"> 201 Внутренний осмотр кабины</t>
  </si>
  <si>
    <t xml:space="preserve"> 202 Внешний осмотр кабины</t>
  </si>
  <si>
    <t xml:space="preserve"> 203 Осмотр аккумуляторов и аккумуляторных кабелей</t>
  </si>
  <si>
    <t xml:space="preserve"> 204 Осмотр  отсеков фильтров гидравлики и трансмиссии</t>
  </si>
  <si>
    <t xml:space="preserve"> 205 Осмотр гидравлического бака</t>
  </si>
  <si>
    <t xml:space="preserve"> 301 Осмотр ступенек и перил</t>
  </si>
  <si>
    <t xml:space="preserve"> 302 Осмотр рабочего освещения</t>
  </si>
  <si>
    <t xml:space="preserve"> 303 Осмотр капота, платформы и дверцы доступа</t>
  </si>
  <si>
    <t xml:space="preserve"> 304 Защита вентилятора и осмотр вентилятора</t>
  </si>
  <si>
    <t xml:space="preserve"> 305 Осмотр радиатора ДВС, интеркуллера, масляного радиатора</t>
  </si>
  <si>
    <t xml:space="preserve"> 306 Осмотр крышки радиатора</t>
  </si>
  <si>
    <t xml:space="preserve"> 307 Осмотр верхнего и нижнего патрубков радиатора и патрубков масляного радиатора</t>
  </si>
  <si>
    <t xml:space="preserve"> 308 Осмотр линии интеркуллера</t>
  </si>
  <si>
    <t xml:space="preserve"> 309 Осмотр воздухоочистителя и фильтра</t>
  </si>
  <si>
    <t xml:space="preserve"> 310 Осмотр головки блока цилиндров и клапанной крышки</t>
  </si>
  <si>
    <t xml:space="preserve"> 311 Осмотр передней плиты ДВС</t>
  </si>
  <si>
    <t xml:space="preserve"> 312 Осмотр задней плиты ДВС</t>
  </si>
  <si>
    <t xml:space="preserve"> 313 Осмотр поддона масляного</t>
  </si>
  <si>
    <t xml:space="preserve"> 314 Осмотр турбокомпрессора</t>
  </si>
  <si>
    <t xml:space="preserve"> 315 Осмотр выпускного коллектора</t>
  </si>
  <si>
    <t xml:space="preserve"> 316 Осмотр шкивов, ремней и муфты компрессора</t>
  </si>
  <si>
    <t xml:space="preserve"> 317 Осмотр водяного насоса</t>
  </si>
  <si>
    <t xml:space="preserve"> 318 Осмотр жгута проводов двигателя</t>
  </si>
  <si>
    <t xml:space="preserve"> 319 Осмотр топливопроводов и топливного насоса</t>
  </si>
  <si>
    <t xml:space="preserve"> 401 Осмотр бортовой передачи и ведущей звездочки</t>
  </si>
  <si>
    <t xml:space="preserve"> 402 Осмотр поддерживающих катков</t>
  </si>
  <si>
    <t xml:space="preserve"> 403 Осмотр опорных катков</t>
  </si>
  <si>
    <t xml:space="preserve"> 404 Осмотр тележки с гусеничными катками</t>
  </si>
  <si>
    <t xml:space="preserve"> 405 Осмотр передних натяжных колес</t>
  </si>
  <si>
    <t xml:space="preserve"> 406 Осмотр направляющих и отбойников гусеничных лент</t>
  </si>
  <si>
    <t xml:space="preserve"> 407 Осмотр башмаков гусеницы</t>
  </si>
  <si>
    <t xml:space="preserve"> 408 Осмотр звена гусеницы/пальца/втулки</t>
  </si>
  <si>
    <t xml:space="preserve"> 409 Осмотр рамы ходовой тележки опорных катков</t>
  </si>
  <si>
    <t xml:space="preserve"> 410 Осмотр балансирной балки</t>
  </si>
  <si>
    <t xml:space="preserve"> 411 Осмотр шарниров ходовых телег</t>
  </si>
  <si>
    <t xml:space="preserve"> 412 Осмотр нижних защит</t>
  </si>
  <si>
    <t xml:space="preserve"> 501 Осмотр шарнирных соединений отвала, стабилизатора поперечной устойчивости, цилиндра перекоса отвала</t>
  </si>
  <si>
    <t xml:space="preserve"> 502 Осмотр цилиндра подъема отвала</t>
  </si>
  <si>
    <t xml:space="preserve"> 503 Осмотр режущей кромки отвала и подрезных ножей</t>
  </si>
  <si>
    <t xml:space="preserve"> 504 Осмотр рыхлителя</t>
  </si>
  <si>
    <t xml:space="preserve"> 505 Осмотр цилиндра рыхлителя</t>
  </si>
  <si>
    <t xml:space="preserve"> 601 Номера устранённых неисправностей</t>
  </si>
  <si>
    <t xml:space="preserve"> Оставить пожелание по использованию формы</t>
  </si>
  <si>
    <t xml:space="preserve"> Пожелания</t>
  </si>
  <si>
    <t xml:space="preserve"> Нет осмотра</t>
  </si>
  <si>
    <t xml:space="preserve"> Есть замечания</t>
  </si>
  <si>
    <t xml:space="preserve"> ОК</t>
  </si>
  <si>
    <t>АО «Карельский окатыш»</t>
  </si>
  <si>
    <t xml:space="preserve"> 201 Неисправность </t>
  </si>
  <si>
    <t xml:space="preserve"> 201 Список необходимых з.ч. и/или работ </t>
  </si>
  <si>
    <t xml:space="preserve"> 201 Фото неисправности </t>
  </si>
  <si>
    <t xml:space="preserve"> 202 Неисправность </t>
  </si>
  <si>
    <t xml:space="preserve"> 202 Список необходимых з.ч. и/или работ </t>
  </si>
  <si>
    <t xml:space="preserve"> 202 Фото неисправности </t>
  </si>
  <si>
    <t xml:space="preserve"> 203 Неисправность </t>
  </si>
  <si>
    <t xml:space="preserve"> 203 Список необходимых з.ч. и/или работ </t>
  </si>
  <si>
    <t xml:space="preserve"> 203 Фото неисправности </t>
  </si>
  <si>
    <t xml:space="preserve"> 204 Неисправность </t>
  </si>
  <si>
    <t xml:space="preserve"> 204 Список необходимых з.ч. и/или работ </t>
  </si>
  <si>
    <t xml:space="preserve"> 204 Фото неисправности </t>
  </si>
  <si>
    <t xml:space="preserve"> 205 Неисправность </t>
  </si>
  <si>
    <t xml:space="preserve"> 205 Список необходимых з.ч. и/или работ </t>
  </si>
  <si>
    <t xml:space="preserve"> 205 Фото неисправности </t>
  </si>
  <si>
    <t xml:space="preserve"> 301 Неисправность </t>
  </si>
  <si>
    <t xml:space="preserve"> 301 Список необходимых з.ч. и/или работ </t>
  </si>
  <si>
    <t xml:space="preserve"> 301 Фото неисправности </t>
  </si>
  <si>
    <t xml:space="preserve"> 302 Неисправность </t>
  </si>
  <si>
    <t xml:space="preserve"> 302 Список необходимых з.ч. и/или работ </t>
  </si>
  <si>
    <t xml:space="preserve"> 302 Фото неисправности </t>
  </si>
  <si>
    <t xml:space="preserve"> 303 Неисправность </t>
  </si>
  <si>
    <t xml:space="preserve"> 303 Список необходимых з.ч. и/или работ </t>
  </si>
  <si>
    <t xml:space="preserve"> 303 Фото неисправности </t>
  </si>
  <si>
    <t xml:space="preserve"> 304 Неисправность </t>
  </si>
  <si>
    <t xml:space="preserve"> 304 Список необходимых з.ч. и/или работ </t>
  </si>
  <si>
    <t xml:space="preserve"> 304 Фото неисправности </t>
  </si>
  <si>
    <t xml:space="preserve"> 305 Неисправность </t>
  </si>
  <si>
    <t xml:space="preserve"> 305 Список необходимых з.ч. и/или работ </t>
  </si>
  <si>
    <t xml:space="preserve"> 305 Фото неисправности </t>
  </si>
  <si>
    <t xml:space="preserve"> 306 Неисправность </t>
  </si>
  <si>
    <t xml:space="preserve"> 306 Список необходимых з.ч. и/или работ </t>
  </si>
  <si>
    <t xml:space="preserve"> 306 Фото неисправности </t>
  </si>
  <si>
    <t xml:space="preserve"> 307 Неисправность </t>
  </si>
  <si>
    <t xml:space="preserve"> 307 Список необходимых з.ч. и/или работ </t>
  </si>
  <si>
    <t xml:space="preserve"> 307 Фото неисправности </t>
  </si>
  <si>
    <t xml:space="preserve"> 308 Неисправность </t>
  </si>
  <si>
    <t xml:space="preserve"> 308 Список необходимых з.ч. и/или работ </t>
  </si>
  <si>
    <t xml:space="preserve"> 308 Фото неисправности </t>
  </si>
  <si>
    <t xml:space="preserve"> 309 Неисправность </t>
  </si>
  <si>
    <t xml:space="preserve"> 309 Список необходимых з.ч. и/или работ </t>
  </si>
  <si>
    <t xml:space="preserve"> 309 Фото неисправности </t>
  </si>
  <si>
    <t xml:space="preserve"> 310 Неисправность </t>
  </si>
  <si>
    <t xml:space="preserve"> 310 Список необходимых з.ч. и/или работ </t>
  </si>
  <si>
    <t xml:space="preserve"> 310 Фото неисправности </t>
  </si>
  <si>
    <t xml:space="preserve"> 311 Неисправность </t>
  </si>
  <si>
    <t xml:space="preserve"> 311 Список необходимых з.ч. и/или работ </t>
  </si>
  <si>
    <t xml:space="preserve"> 311 Фото неисправности </t>
  </si>
  <si>
    <t xml:space="preserve"> 312 Неисправность </t>
  </si>
  <si>
    <t xml:space="preserve"> 312 Список необходимых з.ч. и/или работ </t>
  </si>
  <si>
    <t xml:space="preserve"> 312 Фото неисправности </t>
  </si>
  <si>
    <t xml:space="preserve"> 313 Неисправность </t>
  </si>
  <si>
    <t xml:space="preserve"> 313 Список необходимых з.ч. и/или работ </t>
  </si>
  <si>
    <t xml:space="preserve"> 313 Фото неисправности </t>
  </si>
  <si>
    <t xml:space="preserve"> 314 Неисправность </t>
  </si>
  <si>
    <t xml:space="preserve"> 314 Список необходимых з.ч. и/или работ </t>
  </si>
  <si>
    <t xml:space="preserve"> 314 Фото неисправности </t>
  </si>
  <si>
    <t xml:space="preserve"> 315 Неисправность </t>
  </si>
  <si>
    <t xml:space="preserve"> 315 Список необходимых з.ч. и/или работ </t>
  </si>
  <si>
    <t xml:space="preserve"> 315 Фото неисправности </t>
  </si>
  <si>
    <t xml:space="preserve"> 316 Неисправность </t>
  </si>
  <si>
    <t xml:space="preserve"> 316 Список необходимых з.ч. и/или работ </t>
  </si>
  <si>
    <t xml:space="preserve"> 316 Фото неисправности </t>
  </si>
  <si>
    <t xml:space="preserve"> 317 Неисправность </t>
  </si>
  <si>
    <t xml:space="preserve"> 317 Список необходимых з.ч. и/или работ </t>
  </si>
  <si>
    <t xml:space="preserve"> 317 Фото неисправности </t>
  </si>
  <si>
    <t xml:space="preserve"> 318 Неисправность </t>
  </si>
  <si>
    <t xml:space="preserve"> 318 Список необходимых з.ч. и/или работ </t>
  </si>
  <si>
    <t xml:space="preserve"> 318 Фото неисправности </t>
  </si>
  <si>
    <t xml:space="preserve"> 319 Неисправность </t>
  </si>
  <si>
    <t xml:space="preserve"> 319 Список необходимых з.ч. и/или работ </t>
  </si>
  <si>
    <t xml:space="preserve"> 319 Фото неисправности </t>
  </si>
  <si>
    <t xml:space="preserve"> 401 Неисправность </t>
  </si>
  <si>
    <t xml:space="preserve"> 401 Список необходимых з.ч. и/или работ </t>
  </si>
  <si>
    <t xml:space="preserve"> 401 Фото неисправности </t>
  </si>
  <si>
    <t xml:space="preserve"> 402 Неисправность </t>
  </si>
  <si>
    <t xml:space="preserve"> 402 Список необходимых з.ч. и/или работ </t>
  </si>
  <si>
    <t xml:space="preserve"> 402 Фото неисправности </t>
  </si>
  <si>
    <t xml:space="preserve"> 403 Неисправность </t>
  </si>
  <si>
    <t xml:space="preserve"> 403 Список необходимых з.ч. и/или работ </t>
  </si>
  <si>
    <t xml:space="preserve"> 403 Фото неисправности </t>
  </si>
  <si>
    <t xml:space="preserve"> 404 Неисправность </t>
  </si>
  <si>
    <t xml:space="preserve"> 404 Список необходимых з.ч. и/или работ </t>
  </si>
  <si>
    <t xml:space="preserve"> 404 Фото неисправности </t>
  </si>
  <si>
    <t xml:space="preserve"> 405 Неисправность </t>
  </si>
  <si>
    <t xml:space="preserve"> 405 Список необходимых з.ч. и/или работ </t>
  </si>
  <si>
    <t xml:space="preserve"> 405 Фото неисправности </t>
  </si>
  <si>
    <t xml:space="preserve"> 406 Неисправность </t>
  </si>
  <si>
    <t xml:space="preserve"> 406 Список необходимых з.ч. и/или работ </t>
  </si>
  <si>
    <t xml:space="preserve"> 406 Фото неисправности </t>
  </si>
  <si>
    <t xml:space="preserve"> 407 Неисправность </t>
  </si>
  <si>
    <t xml:space="preserve"> 407 Список необходимых з.ч. и/или работ </t>
  </si>
  <si>
    <t xml:space="preserve"> 407 Фото неисправности </t>
  </si>
  <si>
    <t xml:space="preserve"> 408 Неисправность </t>
  </si>
  <si>
    <t xml:space="preserve"> 408 Список необходимых з.ч. и/или работ </t>
  </si>
  <si>
    <t xml:space="preserve"> 408 Фото неисправности </t>
  </si>
  <si>
    <t xml:space="preserve"> 409 Неисправность </t>
  </si>
  <si>
    <t xml:space="preserve"> 409 Список необходимых з.ч. и/или работ </t>
  </si>
  <si>
    <t xml:space="preserve"> 409 Фото неисправности </t>
  </si>
  <si>
    <t xml:space="preserve"> 410 Неисправность </t>
  </si>
  <si>
    <t xml:space="preserve"> 410 Список необходимых з.ч. и/или работ </t>
  </si>
  <si>
    <t xml:space="preserve"> 410 Фото неисправности </t>
  </si>
  <si>
    <t xml:space="preserve"> 411 Неисправность </t>
  </si>
  <si>
    <t xml:space="preserve"> 411 Список необходимых з.ч. и/или работ </t>
  </si>
  <si>
    <t xml:space="preserve"> 411 Фото неисправности </t>
  </si>
  <si>
    <t xml:space="preserve"> 412 Неисправность </t>
  </si>
  <si>
    <t xml:space="preserve"> 412 Список необходимых з.ч. и/или работ </t>
  </si>
  <si>
    <t xml:space="preserve"> 412 Фото неисправности </t>
  </si>
  <si>
    <t xml:space="preserve"> 501 Неисправность </t>
  </si>
  <si>
    <t xml:space="preserve"> 501 Список необходимых з.ч. и/или работ </t>
  </si>
  <si>
    <t xml:space="preserve"> 501 Фото неисправности </t>
  </si>
  <si>
    <t xml:space="preserve"> 502 Неисправность </t>
  </si>
  <si>
    <t xml:space="preserve"> 502 Список необходимых з.ч. и/или работ </t>
  </si>
  <si>
    <t xml:space="preserve"> 502 Фото неисправности </t>
  </si>
  <si>
    <t xml:space="preserve"> 503 Неисправность </t>
  </si>
  <si>
    <t xml:space="preserve"> 503 Список необходимых з.ч. и/или работ </t>
  </si>
  <si>
    <t xml:space="preserve"> 503 Фото неисправности </t>
  </si>
  <si>
    <t xml:space="preserve"> 504 Неисправность </t>
  </si>
  <si>
    <t xml:space="preserve"> 504 Список необходимых з.ч. и/или работ </t>
  </si>
  <si>
    <t xml:space="preserve"> 504 Фото неисправности </t>
  </si>
  <si>
    <t xml:space="preserve"> 505 Неисправность </t>
  </si>
  <si>
    <t xml:space="preserve"> 505 Список необходимых з.ч. и/или работ </t>
  </si>
  <si>
    <t xml:space="preserve"> 505 Фото неисправности </t>
  </si>
  <si>
    <t>Т-35.02К</t>
  </si>
  <si>
    <t>Костенко Виталий Владимирович</t>
  </si>
  <si>
    <t>1678042324</t>
  </si>
  <si>
    <t>Т-35.01Я</t>
  </si>
  <si>
    <t>14</t>
  </si>
  <si>
    <t>8114</t>
  </si>
  <si>
    <t xml:space="preserve">Костенко Виталий Владимирович </t>
  </si>
  <si>
    <t>Середа Леонид Александрович</t>
  </si>
  <si>
    <t>1680673437</t>
  </si>
  <si>
    <t>13</t>
  </si>
  <si>
    <t>3592</t>
  </si>
  <si>
    <t xml:space="preserve">Рогачев Дмитрий Леонидович </t>
  </si>
  <si>
    <t>1680684394</t>
  </si>
  <si>
    <t>15</t>
  </si>
  <si>
    <t>18216</t>
  </si>
  <si>
    <t xml:space="preserve">Самченко Д. В. </t>
  </si>
  <si>
    <t>1682807856</t>
  </si>
  <si>
    <t>3232</t>
  </si>
  <si>
    <t>1683480133</t>
  </si>
  <si>
    <t>ПАО"Северсталь"</t>
  </si>
  <si>
    <t>Т-15.01К</t>
  </si>
  <si>
    <t>9087</t>
  </si>
  <si>
    <t>Бурмистров А.В.</t>
  </si>
  <si>
    <t>1684289640</t>
  </si>
  <si>
    <t>ООО "Жилищные услуги"</t>
  </si>
  <si>
    <t>Т-9.01Я</t>
  </si>
  <si>
    <t>273</t>
  </si>
  <si>
    <t>1684617891</t>
  </si>
  <si>
    <t>АО "Севералмаз"</t>
  </si>
  <si>
    <t>30</t>
  </si>
  <si>
    <t>5935</t>
  </si>
  <si>
    <t xml:space="preserve">Бельский Олег Владимирович </t>
  </si>
  <si>
    <t>1703176807</t>
  </si>
  <si>
    <t>АГД ДАЙМОНС</t>
  </si>
  <si>
    <t>88</t>
  </si>
  <si>
    <t>2512</t>
  </si>
  <si>
    <t>Тарасюк Д.П.</t>
  </si>
  <si>
    <t>1705155183</t>
  </si>
  <si>
    <t>29</t>
  </si>
  <si>
    <t>6027</t>
  </si>
  <si>
    <t>Жигалов Роман Сергеевич</t>
  </si>
  <si>
    <t>1709770827</t>
  </si>
  <si>
    <t>34</t>
  </si>
  <si>
    <t>6014</t>
  </si>
  <si>
    <t>Жигалов РС</t>
  </si>
  <si>
    <t>6000</t>
  </si>
  <si>
    <t>https://forms.yandex.ru/cloud/files?path=%2F8174359%2F6634d80a90fa7bbf25c93bc8_2f26ecf0_dd76_4b3c_ad29_7639b03c3f2e.jpeg</t>
  </si>
  <si>
    <t>Двигатель коптит под большой нагрузкой</t>
  </si>
  <si>
    <t>Не проверялась</t>
  </si>
  <si>
    <t>Чёрный дым под нагрузкой</t>
  </si>
  <si>
    <t>## Есть замечания</t>
  </si>
  <si>
    <t>Порно пыльник рычага выбора передач</t>
  </si>
  <si>
    <t>Пыльник пыльник</t>
  </si>
  <si>
    <t>https://forms.yandex.ru/cloud/files?path=%2F8174359%2F6634d87902848fbfb724ad58_08c13b13_2b9b_49df_b2de_181e33c95150.jpeg</t>
  </si>
  <si>
    <t>## ОК</t>
  </si>
  <si>
    <t>Отсутствует поддержка перил слева</t>
  </si>
  <si>
    <t>Бабушки и кусок трубы</t>
  </si>
  <si>
    <t>https://forms.yandex.ru/cloud/files?path=%2F9708219%2F6634d8c15d2a06ca25498003_c334e6ad_9c22_47ca_81d5_905a82a5c867.jpeg</t>
  </si>
  <si>
    <t>## Нет осмотра</t>
  </si>
  <si>
    <t>Отсутствуют Боковины на лево разбитый крепления крепления . Трещина на раме облицовки них возле кабины</t>
  </si>
  <si>
    <t xml:space="preserve">Боковины левая  +верхняя оборотная для ремонта </t>
  </si>
  <si>
    <t>https://forms.yandex.ru/cloud/files?path=%2F11377140%2F6634d96cf47e73bfbed9e703_32e032f2_7cae_44b0_b361_657461089080.jpeg, https://forms.yandex.ru/cloud/files?path=%2F4387859%2F6634d911068ff0bccca71bed_19868452_afd2_4480_987f_92a426a535b1.jpeg, https://forms.yandex.ru/cloud/files?path=%2F4412411%2F6634d91143f74fbfc05ff9ff_52c4cdcd_1d3b_40ce_83d2_9f521abd13c8.jpeg, https://forms.yandex.ru/cloud/files?path=%2F6250399%2F6634d91190fa7bbf8bc93bc5_05339662_631d_4402_8bf9_b7eb899f0efd.jpeg, https://forms.yandex.ru/cloud/files?path=%2F8174359%2F6634d96c3e9d08caa7502946_fc3f3791_1f01_43e6_99ba_f44a00155ae3.jpeg</t>
  </si>
  <si>
    <t>При выполнении то турбины не вскрывались</t>
  </si>
  <si>
    <t xml:space="preserve">Проверить турбины методом скрыть проверка вала либо проверить давление </t>
  </si>
  <si>
    <t>https://forms.yandex.ru/cloud/files?path=%2F12567251%2F6634d9f102848fc00124ad4c_54946d71_ea3a_4936_a242_2ec032dcdef9.jpeg, https://forms.yandex.ru/cloud/files?path=%2F9713463%2F6634d9f1e010dbbd7fd04d4f_26f573f9_b707_493c_96ca_391d253cc3e8.jpeg</t>
  </si>
  <si>
    <t>Отсутствует петля на второй защите справа</t>
  </si>
  <si>
    <t>Петля палец крепления защиты Слесарные работы</t>
  </si>
  <si>
    <t>https://forms.yandex.ru/cloud/files?path=%2F5465261%2F6634db1184227cbd60107e8c_58ee7ca1_b774_4847_948b_19c436209251.jpeg</t>
  </si>
  <si>
    <t>Регулятора август и облицовка не устранены</t>
  </si>
  <si>
    <t>Названия строк</t>
  </si>
  <si>
    <t>Общий итог</t>
  </si>
  <si>
    <t>Машина чистая?</t>
  </si>
  <si>
    <t>Разбито зеркало слева Отсутствуют баллоны системы пожаротушения справа. разбиты крепления насоса смазки</t>
  </si>
  <si>
    <t>Заменить зеркало . заменить баллон системы пожаротушения . Требуется установка поддержки колбы Насоса смазка.</t>
  </si>
  <si>
    <t>https://forms.yandex.ru/cloud/files?path=%2F12644002%2F6638722a7c1515feae5e322c_a4f4f2be_fcfa_4882_97be_c8d364ec678f.jpeg, https://forms.yandex.ru/cloud/files?path=%2F4488571%2F6638722a7c1515fe965e3235_0520060c_c2e2_4361_b8a6_58fd42b18502.jpeg, https://forms.yandex.ru/cloud/files?path=%2F6456219%2F6638722a3e9d081aaf502983_779050ee_15a4_4897_96de_35519316c645.jpeg, https://forms.yandex.ru/cloud/files?path=%2F7792313%2F6638722a90fa7b0db2c93bd9_1aa1ed1a_edf5_4b4e_bdfc_7480648af613.jpeg</t>
  </si>
  <si>
    <t>Отсутствует оголовок выхлопной трубыВозможно попадания осадков в выхлопную систему двигателя</t>
  </si>
  <si>
    <t>Установить хлопушку либо отвод 90°</t>
  </si>
  <si>
    <t>https://forms.yandex.ru/cloud/files?path=%2F5491403%2F6638705173cee7bdb45bafbe_63e59786_ae62_46df_ae10_3001d001bfa0.jpeg</t>
  </si>
  <si>
    <t>Сломана база фильтров</t>
  </si>
  <si>
    <t>База фильтров фильтров грубой очистки</t>
  </si>
  <si>
    <t>https://forms.yandex.ru/cloud/files?path=%2F5491403%2F66386ff7d046880b56d55834_51f9e3b5_294c_4de1_8426_f6f7dbef68bc.jpeg</t>
  </si>
  <si>
    <t>Отсутствует пункт 205 Добавить пункты по системе смазки и системы пожаротушения</t>
  </si>
  <si>
    <t>1726146336</t>
  </si>
  <si>
    <t>АГД Даймондс</t>
  </si>
  <si>
    <t>3012</t>
  </si>
  <si>
    <t>Димасик Сергеевич</t>
  </si>
  <si>
    <t>https://forms.yandex.ru/cloud/files?path=%2F6250399%2F6637620890fa7bf3ddc93bc5_17149055917628153939090569245504.jpg</t>
  </si>
  <si>
    <t xml:space="preserve">Падает сидение (пневматика) </t>
  </si>
  <si>
    <t>Нлрмальный</t>
  </si>
  <si>
    <t>Свист из моторного отсека</t>
  </si>
  <si>
    <t>Со временем опускается сидение оператора</t>
  </si>
  <si>
    <t>Слышимых утечек воздуха нет</t>
  </si>
  <si>
    <t>https://forms.yandex.ru/cloud/files?path=%2F9713463%2F66376307068ff0f0f3a71bfb_17149058523926496612712500390207.jpg</t>
  </si>
  <si>
    <t>Ослабление ремня привода вентилятора</t>
  </si>
  <si>
    <t>Требуется диагностика</t>
  </si>
  <si>
    <t>https://forms.yandex.ru/cloud/files?path=%2F9713463%2F663763b1068ff0f107a71be3_17149060215337420047253199888716.jpg</t>
  </si>
  <si>
    <t>Утечка по сварному шву бортового редуктора</t>
  </si>
  <si>
    <t>https://forms.yandex.ru/cloud/files?path=%2F9713463%2F663763f0e010dbf1a4d04d5c_17149060830402831928152913634871.jpg</t>
  </si>
  <si>
    <t>0</t>
  </si>
  <si>
    <t>Кол-во созданых потребностей номеклатуры</t>
  </si>
  <si>
    <t>Кол-во полученных инспекций</t>
  </si>
  <si>
    <t>Кол-во согласованых КП</t>
  </si>
  <si>
    <t>1726680212</t>
  </si>
  <si>
    <t>Постников ею</t>
  </si>
  <si>
    <t>Не затянут Болт сегмента</t>
  </si>
  <si>
    <t>Подтянуть балты</t>
  </si>
  <si>
    <t>https://forms.yandex.ru/cloud/files?path=%2F12496708%2F663870ad505690a5d10743de_05960043_42ed_4cce_8178_7af0288067d2.jpeg</t>
  </si>
  <si>
    <t>Дата</t>
  </si>
  <si>
    <t>Март</t>
  </si>
  <si>
    <t>Апрель</t>
  </si>
  <si>
    <t>1727254099</t>
  </si>
  <si>
    <t>Т-45.03Я</t>
  </si>
  <si>
    <t>1</t>
  </si>
  <si>
    <t>245</t>
  </si>
  <si>
    <t>Мышов ЛА</t>
  </si>
  <si>
    <t xml:space="preserve">Перегрев масла трансмиссии. Не поднимается отвал на больших оборотах ДВС (выше 1500об. мин.) . Низкая мощность ДВС. Неудобные органы управления. Стеклоочистители не чистят зону просмотра. </t>
  </si>
  <si>
    <t>Неисправность ЭБУ трансмиссии или линии связи.</t>
  </si>
  <si>
    <t>Бесцветный</t>
  </si>
  <si>
    <t>Повреждение РВД привода мотора вентилятира.</t>
  </si>
  <si>
    <t>Замена</t>
  </si>
  <si>
    <t>https://forms.yandex.ru/cloud/files?path=%2F5465261%2F6638e69d90fa7b2458c93bcf_img20240506171644.jpg</t>
  </si>
  <si>
    <t xml:space="preserve">Деформация смотровых окон </t>
  </si>
  <si>
    <t>https://forms.yandex.ru/cloud/files?path=%2F12644002%2F6638e6af2530c25e99b66015_img20240506171154.jpg</t>
  </si>
  <si>
    <t>Поручень правого бруса отвала</t>
  </si>
  <si>
    <t>Ремонт</t>
  </si>
  <si>
    <t>https://forms.yandex.ru/cloud/files?path=%2F4387859%2F6638e6bf73cee7d5705baf95_img20240506171102.jpg</t>
  </si>
  <si>
    <t xml:space="preserve">Отсутствует левая фара </t>
  </si>
  <si>
    <t>Установить фару</t>
  </si>
  <si>
    <t>https://forms.yandex.ru/cloud/files?path=%2F8174359%2F6638e6cc7c151524b95e322d_img20240506170948.jpg</t>
  </si>
  <si>
    <t>Не работает вентилятор радиатора</t>
  </si>
  <si>
    <t>Ремонт.</t>
  </si>
  <si>
    <t>https://forms.yandex.ru/cloud/files?path=%2F6250399%2F6638e7383e9d08324d502947_upload20240506172038011.jpg</t>
  </si>
  <si>
    <t>Течь масла по штоку натяжителя с правой и левой ходовых телег</t>
  </si>
  <si>
    <t>https://forms.yandex.ru/cloud/files?path=%2F6219879%2F6638e7775d2a0631c0498031_upload20240506172139869.jpg</t>
  </si>
  <si>
    <t>Отсутствует правая передняя защита.</t>
  </si>
  <si>
    <t>Монтаж новой</t>
  </si>
  <si>
    <t>https://forms.yandex.ru/cloud/files?path=%2F6250399%2F6638e7972530c25f2bb65fe2_upload20240506172213226.jpg</t>
  </si>
  <si>
    <t>Утечка масла по штоку правого цилиндра подъёма отвала , классификация утечки№ 1</t>
  </si>
  <si>
    <t>https://forms.yandex.ru/cloud/files?path=%2F12496708%2F6638e7c790fa7b248cc93bad_upload20240506172259908.jpg</t>
  </si>
  <si>
    <t>Заказчик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</si>
</sst>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5" xfId="0" applyFill="1" applyBorder="1"/>
    <xf numFmtId="0" fontId="0" fillId="2" borderId="5" xfId="0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0" fillId="3" borderId="3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3" borderId="7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2" borderId="0" xfId="0" applyFill="1"/>
    <xf numFmtId="0" fontId="0" fillId="3" borderId="7" xfId="0" applyFill="1" applyBorder="1"/>
    <xf numFmtId="0" fontId="0" fillId="0" borderId="5" xfId="0" applyBorder="1"/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1" fillId="3" borderId="0" xfId="0" applyFont="1" applyFill="1"/>
    <xf numFmtId="49" fontId="0" fillId="2" borderId="0" xfId="0" applyNumberFormat="1" applyFill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Обычный" xfId="0" builtinId="0"/>
    <cellStyle name="Обычный 2" xfId="1" xr:uid="{F5168C91-D188-4A82-B961-15A894821310}"/>
  </cellStyles>
  <dxfs count="27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[CHETRA.xlsx]Сводная по таблице!Сводная таблица1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1"/>
              <a:t>Отчёт</a:t>
            </a:r>
            <a:r>
              <a:rPr lang="ru-RU" sz="1800" b="1" i="1" baseline="0"/>
              <a:t> по инспекциям техники</a:t>
            </a:r>
            <a:endParaRPr lang="ru-RU" sz="18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'Сводная по таблице'!$B$3</c:f>
              <c:strCache>
                <c:ptCount val="1"/>
                <c:pt idx="0">
                  <c:v>Кол-во согласованых КП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по таблице'!$A$4:$A$16</c:f>
              <c:strCache>
                <c:ptCount val="12"/>
                <c:pt idx="0">
                  <c:v>24.03.2024</c:v>
                </c:pt>
                <c:pt idx="1">
                  <c:v>27.03.2024</c:v>
                </c:pt>
                <c:pt idx="2">
                  <c:v>29.03.2024</c:v>
                </c:pt>
                <c:pt idx="3">
                  <c:v>30.03.2024</c:v>
                </c:pt>
                <c:pt idx="4">
                  <c:v>31.03.2024</c:v>
                </c:pt>
                <c:pt idx="5">
                  <c:v>11.04.2024</c:v>
                </c:pt>
                <c:pt idx="6">
                  <c:v>13.04.2024</c:v>
                </c:pt>
                <c:pt idx="7">
                  <c:v>17.04.2024</c:v>
                </c:pt>
                <c:pt idx="8">
                  <c:v>25.04.2024</c:v>
                </c:pt>
                <c:pt idx="9">
                  <c:v>28.04.2024</c:v>
                </c:pt>
                <c:pt idx="10">
                  <c:v>05.05.2024</c:v>
                </c:pt>
                <c:pt idx="11">
                  <c:v>06.05.2024</c:v>
                </c:pt>
              </c:strCache>
            </c:strRef>
          </c:cat>
          <c:val>
            <c:numRef>
              <c:f>'Сводная по таблице'!$B$4:$B$16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7-4332-9E55-751515C13512}"/>
            </c:ext>
          </c:extLst>
        </c:ser>
        <c:ser>
          <c:idx val="1"/>
          <c:order val="1"/>
          <c:tx>
            <c:strRef>
              <c:f>'Сводная по таблице'!$C$3</c:f>
              <c:strCache>
                <c:ptCount val="1"/>
                <c:pt idx="0">
                  <c:v>Кол-во созданых потребностей номеклатуры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по таблице'!$A$4:$A$16</c:f>
              <c:strCache>
                <c:ptCount val="12"/>
                <c:pt idx="0">
                  <c:v>24.03.2024</c:v>
                </c:pt>
                <c:pt idx="1">
                  <c:v>27.03.2024</c:v>
                </c:pt>
                <c:pt idx="2">
                  <c:v>29.03.2024</c:v>
                </c:pt>
                <c:pt idx="3">
                  <c:v>30.03.2024</c:v>
                </c:pt>
                <c:pt idx="4">
                  <c:v>31.03.2024</c:v>
                </c:pt>
                <c:pt idx="5">
                  <c:v>11.04.2024</c:v>
                </c:pt>
                <c:pt idx="6">
                  <c:v>13.04.2024</c:v>
                </c:pt>
                <c:pt idx="7">
                  <c:v>17.04.2024</c:v>
                </c:pt>
                <c:pt idx="8">
                  <c:v>25.04.2024</c:v>
                </c:pt>
                <c:pt idx="9">
                  <c:v>28.04.2024</c:v>
                </c:pt>
                <c:pt idx="10">
                  <c:v>05.05.2024</c:v>
                </c:pt>
                <c:pt idx="11">
                  <c:v>06.05.2024</c:v>
                </c:pt>
              </c:strCache>
            </c:strRef>
          </c:cat>
          <c:val>
            <c:numRef>
              <c:f>'Сводная по таблице'!$C$4:$C$16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7-4332-9E55-751515C13512}"/>
            </c:ext>
          </c:extLst>
        </c:ser>
        <c:ser>
          <c:idx val="2"/>
          <c:order val="2"/>
          <c:tx>
            <c:strRef>
              <c:f>'Сводная по таблице'!$D$3</c:f>
              <c:strCache>
                <c:ptCount val="1"/>
                <c:pt idx="0">
                  <c:v>Кол-во полученных инспекций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по таблице'!$A$4:$A$16</c:f>
              <c:strCache>
                <c:ptCount val="12"/>
                <c:pt idx="0">
                  <c:v>24.03.2024</c:v>
                </c:pt>
                <c:pt idx="1">
                  <c:v>27.03.2024</c:v>
                </c:pt>
                <c:pt idx="2">
                  <c:v>29.03.2024</c:v>
                </c:pt>
                <c:pt idx="3">
                  <c:v>30.03.2024</c:v>
                </c:pt>
                <c:pt idx="4">
                  <c:v>31.03.2024</c:v>
                </c:pt>
                <c:pt idx="5">
                  <c:v>11.04.2024</c:v>
                </c:pt>
                <c:pt idx="6">
                  <c:v>13.04.2024</c:v>
                </c:pt>
                <c:pt idx="7">
                  <c:v>17.04.2024</c:v>
                </c:pt>
                <c:pt idx="8">
                  <c:v>25.04.2024</c:v>
                </c:pt>
                <c:pt idx="9">
                  <c:v>28.04.2024</c:v>
                </c:pt>
                <c:pt idx="10">
                  <c:v>05.05.2024</c:v>
                </c:pt>
                <c:pt idx="11">
                  <c:v>06.05.2024</c:v>
                </c:pt>
              </c:strCache>
            </c:strRef>
          </c:cat>
          <c:val>
            <c:numRef>
              <c:f>'Сводная по таблице'!$D$4:$D$16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7-4332-9E55-751515C135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5171744"/>
        <c:axId val="615142464"/>
      </c:lineChart>
      <c:catAx>
        <c:axId val="61517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142464"/>
        <c:crosses val="autoZero"/>
        <c:auto val="1"/>
        <c:lblAlgn val="ctr"/>
        <c:lblOffset val="100"/>
        <c:noMultiLvlLbl val="0"/>
      </c:catAx>
      <c:valAx>
        <c:axId val="6151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1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00940541558671"/>
          <c:y val="0.59439660750370804"/>
          <c:w val="0.21634820510930675"/>
          <c:h val="0.26370603010906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1"/>
              <a:t>Отчёт по работе с инспекциями техники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'Таблица к отчету'!$C$1</c:f>
              <c:strCache>
                <c:ptCount val="1"/>
                <c:pt idx="0">
                  <c:v>Кол-во полученных инспекций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'Таблица к отчету'!$B$2:$B$4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11.05.2024</c:v>
                </c:pt>
              </c:strCache>
            </c:strRef>
          </c:cat>
          <c:val>
            <c:numRef>
              <c:f>'Таблица к отчету'!$C$2:$C$4</c:f>
              <c:numCache>
                <c:formatCode>0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8-4BF8-B429-73EEA31600CC}"/>
            </c:ext>
          </c:extLst>
        </c:ser>
        <c:ser>
          <c:idx val="1"/>
          <c:order val="1"/>
          <c:tx>
            <c:strRef>
              <c:f>'Таблица к отчету'!$D$1</c:f>
              <c:strCache>
                <c:ptCount val="1"/>
                <c:pt idx="0">
                  <c:v>Кол-во созданых потребностей номеклатуры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'Таблица к отчету'!$B$2:$B$4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11.05.2024</c:v>
                </c:pt>
              </c:strCache>
            </c:strRef>
          </c:cat>
          <c:val>
            <c:numRef>
              <c:f>'Таблица к отчету'!$D$2:$D$4</c:f>
              <c:numCache>
                <c:formatCode>0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8-4BF8-B429-73EEA31600CC}"/>
            </c:ext>
          </c:extLst>
        </c:ser>
        <c:ser>
          <c:idx val="2"/>
          <c:order val="2"/>
          <c:tx>
            <c:strRef>
              <c:f>'Таблица к отчету'!$E$1</c:f>
              <c:strCache>
                <c:ptCount val="1"/>
                <c:pt idx="0">
                  <c:v>Кол-во согласованых КП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'Таблица к отчету'!$B$2:$B$4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11.05.2024</c:v>
                </c:pt>
              </c:strCache>
            </c:strRef>
          </c:cat>
          <c:val>
            <c:numRef>
              <c:f>'Таблица к отчету'!$E$2:$E$4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8-4BF8-B429-73EEA31600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205248"/>
        <c:axId val="180209088"/>
      </c:lineChart>
      <c:catAx>
        <c:axId val="18020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09088"/>
        <c:crosses val="autoZero"/>
        <c:auto val="1"/>
        <c:lblAlgn val="ctr"/>
        <c:lblOffset val="100"/>
        <c:noMultiLvlLbl val="0"/>
      </c:catAx>
      <c:valAx>
        <c:axId val="1802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25" r="0.25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13</xdr:col>
      <xdr:colOff>320040</xdr:colOff>
      <xdr:row>27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AC8A77F-4AB1-4B12-85E7-90ADE1444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365760</xdr:colOff>
      <xdr:row>32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6FC3B7A-3DC0-4C6E-A0E9-7D0B993B5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19.430217361114" createdVersion="8" refreshedVersion="8" minRefreshableVersion="3" recordCount="15" xr:uid="{2D75155C-2C66-4019-8BA3-306196B3D0B5}">
  <cacheSource type="worksheet">
    <worksheetSource name="Таблица3"/>
  </cacheSource>
  <cacheFields count="185">
    <cacheField name="Согласовано" numFmtId="0">
      <sharedItems containsNonDate="0" containsString="0" containsBlank="1"/>
    </cacheField>
    <cacheField name="Заявка на закуп" numFmtId="0">
      <sharedItems containsString="0" containsBlank="1" containsNumber="1" containsInteger="1" minValue="18" maxValue="76"/>
    </cacheField>
    <cacheField name="ID" numFmtId="0">
      <sharedItems containsMixedTypes="1" containsNumber="1" containsInteger="1" minValue="1721018495" maxValue="1721018495"/>
    </cacheField>
    <cacheField name="Время создания" numFmtId="14">
      <sharedItems containsNonDate="0" containsDate="1" containsMixedTypes="1" minDate="2024-03-24T00:00:00" maxDate="2024-05-07T00:00:00" count="15">
        <d v="2024-03-24T00:00:00"/>
        <d v="2024-03-27T00:00:00"/>
        <d v="2024-03-29T00:00:00"/>
        <d v="2024-03-30T00:00:00"/>
        <d v="2024-03-31T00:00:00"/>
        <d v="2024-04-11T00:00:00"/>
        <d v="2024-04-13T00:00:00"/>
        <d v="2024-04-17T00:00:00"/>
        <d v="2024-04-25T00:00:00"/>
        <d v="2024-04-28T00:00:00"/>
        <d v="2024-05-05T00:00:00"/>
        <d v="2024-05-06T00:00:00"/>
        <s v="2024-05-06 17:23:12" u="1"/>
        <d v="2024-05-03T00:00:00" u="1"/>
        <d v="2024-04-28T12:53:16" u="1"/>
      </sharedItems>
    </cacheField>
    <cacheField name=" Заказчик" numFmtId="0">
      <sharedItems/>
    </cacheField>
    <cacheField name=" Машина" numFmtId="0">
      <sharedItems/>
    </cacheField>
    <cacheField name=" Серийный номер" numFmtId="0">
      <sharedItems containsMixedTypes="1" containsNumber="1" containsInteger="1" minValue="24" maxValue="1215"/>
    </cacheField>
    <cacheField name=" Хозяйственный номер" numFmtId="0">
      <sharedItems containsBlank="1" containsMixedTypes="1" containsNumber="1" containsInteger="1" minValue="15" maxValue="15"/>
    </cacheField>
    <cacheField name=" Наработка" numFmtId="0">
      <sharedItems containsBlank="1" containsMixedTypes="1" containsNumber="1" containsInteger="1" minValue="18756" maxValue="18756"/>
    </cacheField>
    <cacheField name="Машина чистая?" numFmtId="0">
      <sharedItems containsBlank="1"/>
    </cacheField>
    <cacheField name=" Исполнитель" numFmtId="0">
      <sharedItems/>
    </cacheField>
    <cacheField name=" Общий вид машины" numFmtId="0">
      <sharedItems containsBlank="1"/>
    </cacheField>
    <cacheField name=" 101 Свяжитесь с клиентом, чтобы узнать о жалобах оператора" numFmtId="0">
      <sharedItems containsBlank="1"/>
    </cacheField>
    <cacheField name=" 102 Подготовьте машину к проверке" numFmtId="0">
      <sharedItems containsBlank="1"/>
    </cacheField>
    <cacheField name=" 103 Проведение проверки безопасности/подготовительной проверки" numFmtId="0">
      <sharedItems containsBlank="1"/>
    </cacheField>
    <cacheField name=" 104 Загрузка кодов неисправностей машины" numFmtId="0">
      <sharedItems containsBlank="1"/>
    </cacheField>
    <cacheField name=" 105 Обратите внимание на цвет выхлопных газов двигателя" numFmtId="0">
      <sharedItems containsBlank="1"/>
    </cacheField>
    <cacheField name=" 106 Прислушивайтесь к необычным шумам" numFmtId="0">
      <sharedItems containsBlank="1"/>
    </cacheField>
    <cacheField name=" 201 Внутренний осмотр кабины" numFmtId="0">
      <sharedItems containsBlank="1"/>
    </cacheField>
    <cacheField name=" 201 Неисправность " numFmtId="0">
      <sharedItems containsBlank="1"/>
    </cacheField>
    <cacheField name=" 201 Список необходимых з.ч. и/или работ " numFmtId="0">
      <sharedItems containsBlank="1"/>
    </cacheField>
    <cacheField name=" 201 Фото неисправности " numFmtId="0">
      <sharedItems containsBlank="1"/>
    </cacheField>
    <cacheField name=" 202 Внешний осмотр кабины" numFmtId="0">
      <sharedItems containsBlank="1"/>
    </cacheField>
    <cacheField name=" 202 Неисправность " numFmtId="0">
      <sharedItems containsBlank="1"/>
    </cacheField>
    <cacheField name=" 202 Список необходимых з.ч. и/или работ " numFmtId="0">
      <sharedItems containsBlank="1"/>
    </cacheField>
    <cacheField name=" 202 Фото неисправности " numFmtId="0">
      <sharedItems containsBlank="1" longText="1"/>
    </cacheField>
    <cacheField name=" 203 Осмотр аккумуляторов и аккумуляторных кабелей" numFmtId="0">
      <sharedItems containsBlank="1"/>
    </cacheField>
    <cacheField name=" 203 Неисправность " numFmtId="0">
      <sharedItems containsNonDate="0" containsString="0" containsBlank="1"/>
    </cacheField>
    <cacheField name=" 203 Список необходимых з.ч. и/или работ " numFmtId="0">
      <sharedItems containsNonDate="0" containsString="0" containsBlank="1"/>
    </cacheField>
    <cacheField name=" 203 Фото неисправности " numFmtId="0">
      <sharedItems containsNonDate="0" containsString="0" containsBlank="1"/>
    </cacheField>
    <cacheField name=" 204 Осмотр  отсеков фильтров гидравлики и трансмиссии" numFmtId="0">
      <sharedItems containsBlank="1"/>
    </cacheField>
    <cacheField name=" 204 Неисправность " numFmtId="0">
      <sharedItems containsBlank="1"/>
    </cacheField>
    <cacheField name=" 204 Список необходимых з.ч. и/или работ " numFmtId="0">
      <sharedItems containsBlank="1"/>
    </cacheField>
    <cacheField name=" 204 Фото неисправности " numFmtId="0">
      <sharedItems containsBlank="1"/>
    </cacheField>
    <cacheField name=" 205 Осмотр гидравлического бака" numFmtId="0">
      <sharedItems containsBlank="1"/>
    </cacheField>
    <cacheField name=" 205 Неисправность " numFmtId="0">
      <sharedItems containsBlank="1"/>
    </cacheField>
    <cacheField name=" 205 Список необходимых з.ч. и/или работ " numFmtId="0">
      <sharedItems containsBlank="1"/>
    </cacheField>
    <cacheField name=" 205 Фото неисправности " numFmtId="0">
      <sharedItems containsBlank="1"/>
    </cacheField>
    <cacheField name=" 301 Осмотр ступенек и перил" numFmtId="0">
      <sharedItems containsBlank="1"/>
    </cacheField>
    <cacheField name=" 301 Неисправность " numFmtId="0">
      <sharedItems containsBlank="1"/>
    </cacheField>
    <cacheField name=" 301 Список необходимых з.ч. и/или работ " numFmtId="0">
      <sharedItems containsBlank="1"/>
    </cacheField>
    <cacheField name=" 301 Фото неисправности " numFmtId="0">
      <sharedItems containsBlank="1"/>
    </cacheField>
    <cacheField name=" 302 Осмотр рабочего освещения" numFmtId="0">
      <sharedItems containsBlank="1"/>
    </cacheField>
    <cacheField name=" 302 Неисправность " numFmtId="0">
      <sharedItems containsBlank="1"/>
    </cacheField>
    <cacheField name=" 302 Список необходимых з.ч. и/или работ " numFmtId="0">
      <sharedItems containsBlank="1"/>
    </cacheField>
    <cacheField name=" 302 Фото неисправности " numFmtId="0">
      <sharedItems containsBlank="1"/>
    </cacheField>
    <cacheField name=" 303 Осмотр капота, платформы и дверцы доступа" numFmtId="0">
      <sharedItems containsBlank="1"/>
    </cacheField>
    <cacheField name=" 303 Неисправность " numFmtId="0">
      <sharedItems containsBlank="1"/>
    </cacheField>
    <cacheField name=" 303 Список необходимых з.ч. и/или работ " numFmtId="0">
      <sharedItems containsBlank="1"/>
    </cacheField>
    <cacheField name=" 303 Фото неисправности " numFmtId="0">
      <sharedItems containsBlank="1" longText="1"/>
    </cacheField>
    <cacheField name=" 304 Защита вентилятора и осмотр вентилятора" numFmtId="0">
      <sharedItems containsBlank="1"/>
    </cacheField>
    <cacheField name=" 304 Неисправность " numFmtId="0">
      <sharedItems containsBlank="1"/>
    </cacheField>
    <cacheField name=" 304 Список необходимых з.ч. и/или работ " numFmtId="0">
      <sharedItems containsBlank="1"/>
    </cacheField>
    <cacheField name=" 304 Фото неисправности " numFmtId="0">
      <sharedItems containsBlank="1"/>
    </cacheField>
    <cacheField name=" 305 Осмотр радиатора ДВС, интеркуллера, масляного радиатора" numFmtId="0">
      <sharedItems containsBlank="1"/>
    </cacheField>
    <cacheField name=" 305 Неисправность " numFmtId="0">
      <sharedItems containsBlank="1"/>
    </cacheField>
    <cacheField name=" 305 Список необходимых з.ч. и/или работ " numFmtId="0">
      <sharedItems containsBlank="1"/>
    </cacheField>
    <cacheField name=" 305 Фото неисправности " numFmtId="0">
      <sharedItems containsBlank="1"/>
    </cacheField>
    <cacheField name=" 306 Осмотр крышки радиатора" numFmtId="0">
      <sharedItems containsBlank="1"/>
    </cacheField>
    <cacheField name=" 306 Неисправность " numFmtId="0">
      <sharedItems containsNonDate="0" containsString="0" containsBlank="1"/>
    </cacheField>
    <cacheField name=" 306 Список необходимых з.ч. и/или работ " numFmtId="0">
      <sharedItems containsNonDate="0" containsString="0" containsBlank="1"/>
    </cacheField>
    <cacheField name=" 306 Фото неисправности " numFmtId="0">
      <sharedItems containsNonDate="0" containsString="0" containsBlank="1"/>
    </cacheField>
    <cacheField name=" 307 Осмотр верхнего и нижнего патрубков радиатора и патрубков масляного радиатора" numFmtId="0">
      <sharedItems containsBlank="1"/>
    </cacheField>
    <cacheField name=" 307 Неисправность " numFmtId="0">
      <sharedItems containsNonDate="0" containsString="0" containsBlank="1"/>
    </cacheField>
    <cacheField name=" 307 Список необходимых з.ч. и/или работ " numFmtId="0">
      <sharedItems containsNonDate="0" containsString="0" containsBlank="1"/>
    </cacheField>
    <cacheField name=" 307 Фото неисправности " numFmtId="0">
      <sharedItems containsNonDate="0" containsString="0" containsBlank="1"/>
    </cacheField>
    <cacheField name=" 308 Осмотр линии интеркуллера" numFmtId="0">
      <sharedItems containsBlank="1"/>
    </cacheField>
    <cacheField name=" 308 Неисправность " numFmtId="0">
      <sharedItems containsNonDate="0" containsString="0" containsBlank="1"/>
    </cacheField>
    <cacheField name=" 308 Список необходимых з.ч. и/или работ " numFmtId="0">
      <sharedItems containsNonDate="0" containsString="0" containsBlank="1"/>
    </cacheField>
    <cacheField name=" 308 Фото неисправности " numFmtId="0">
      <sharedItems containsNonDate="0" containsString="0" containsBlank="1"/>
    </cacheField>
    <cacheField name=" 309 Осмотр воздухоочистителя и фильтра" numFmtId="0">
      <sharedItems containsBlank="1"/>
    </cacheField>
    <cacheField name=" 309 Неисправность " numFmtId="0">
      <sharedItems containsNonDate="0" containsString="0" containsBlank="1"/>
    </cacheField>
    <cacheField name=" 309 Список необходимых з.ч. и/или работ " numFmtId="0">
      <sharedItems containsNonDate="0" containsString="0" containsBlank="1"/>
    </cacheField>
    <cacheField name=" 309 Фото неисправности " numFmtId="0">
      <sharedItems containsNonDate="0" containsString="0" containsBlank="1"/>
    </cacheField>
    <cacheField name=" 310 Осмотр головки блока цилиндров и клапанной крышки" numFmtId="0">
      <sharedItems containsBlank="1"/>
    </cacheField>
    <cacheField name=" 310 Неисправность " numFmtId="0">
      <sharedItems containsBlank="1"/>
    </cacheField>
    <cacheField name=" 310 Список необходимых з.ч. и/или работ " numFmtId="0">
      <sharedItems containsBlank="1"/>
    </cacheField>
    <cacheField name=" 310 Фото неисправности " numFmtId="0">
      <sharedItems containsBlank="1"/>
    </cacheField>
    <cacheField name=" 311 Осмотр передней плиты ДВС" numFmtId="0">
      <sharedItems containsBlank="1"/>
    </cacheField>
    <cacheField name=" 311 Неисправность " numFmtId="0">
      <sharedItems containsNonDate="0" containsString="0" containsBlank="1"/>
    </cacheField>
    <cacheField name=" 311 Список необходимых з.ч. и/или работ " numFmtId="0">
      <sharedItems containsNonDate="0" containsString="0" containsBlank="1"/>
    </cacheField>
    <cacheField name=" 311 Фото неисправности " numFmtId="0">
      <sharedItems containsNonDate="0" containsString="0" containsBlank="1"/>
    </cacheField>
    <cacheField name=" 312 Осмотр задней плиты ДВС" numFmtId="0">
      <sharedItems containsBlank="1"/>
    </cacheField>
    <cacheField name=" 312 Неисправность " numFmtId="0">
      <sharedItems containsNonDate="0" containsString="0" containsBlank="1"/>
    </cacheField>
    <cacheField name=" 312 Список необходимых з.ч. и/или работ " numFmtId="0">
      <sharedItems containsNonDate="0" containsString="0" containsBlank="1"/>
    </cacheField>
    <cacheField name=" 312 Фото неисправности " numFmtId="0">
      <sharedItems containsNonDate="0" containsString="0" containsBlank="1"/>
    </cacheField>
    <cacheField name=" 313 Осмотр поддона масляного" numFmtId="0">
      <sharedItems containsBlank="1"/>
    </cacheField>
    <cacheField name=" 313 Неисправность " numFmtId="0">
      <sharedItems containsNonDate="0" containsString="0" containsBlank="1"/>
    </cacheField>
    <cacheField name=" 313 Список необходимых з.ч. и/или работ " numFmtId="0">
      <sharedItems containsNonDate="0" containsString="0" containsBlank="1"/>
    </cacheField>
    <cacheField name=" 313 Фото неисправности " numFmtId="0">
      <sharedItems containsNonDate="0" containsString="0" containsBlank="1"/>
    </cacheField>
    <cacheField name=" 314 Осмотр турбокомпрессора" numFmtId="0">
      <sharedItems containsBlank="1"/>
    </cacheField>
    <cacheField name=" 314 Неисправность " numFmtId="0">
      <sharedItems containsBlank="1"/>
    </cacheField>
    <cacheField name=" 314 Список необходимых з.ч. и/или работ " numFmtId="0">
      <sharedItems containsBlank="1"/>
    </cacheField>
    <cacheField name=" 314 Фото неисправности " numFmtId="0">
      <sharedItems containsBlank="1"/>
    </cacheField>
    <cacheField name=" 315 Осмотр выпускного коллектора" numFmtId="0">
      <sharedItems containsBlank="1"/>
    </cacheField>
    <cacheField name=" 315 Неисправность " numFmtId="0">
      <sharedItems containsBlank="1"/>
    </cacheField>
    <cacheField name=" 315 Список необходимых з.ч. и/или работ " numFmtId="0">
      <sharedItems containsBlank="1"/>
    </cacheField>
    <cacheField name=" 315 Фото неисправности " numFmtId="0">
      <sharedItems containsBlank="1"/>
    </cacheField>
    <cacheField name=" 316 Осмотр шкивов, ремней и муфты компрессора" numFmtId="0">
      <sharedItems containsBlank="1"/>
    </cacheField>
    <cacheField name=" 316 Неисправность " numFmtId="0">
      <sharedItems containsNonDate="0" containsString="0" containsBlank="1"/>
    </cacheField>
    <cacheField name=" 316 Список необходимых з.ч. и/или работ " numFmtId="0">
      <sharedItems containsNonDate="0" containsString="0" containsBlank="1"/>
    </cacheField>
    <cacheField name=" 316 Фото неисправности " numFmtId="0">
      <sharedItems containsNonDate="0" containsString="0" containsBlank="1"/>
    </cacheField>
    <cacheField name=" 317 Осмотр водяного насоса" numFmtId="0">
      <sharedItems containsBlank="1"/>
    </cacheField>
    <cacheField name=" 317 Неисправность " numFmtId="0">
      <sharedItems containsNonDate="0" containsString="0" containsBlank="1"/>
    </cacheField>
    <cacheField name=" 317 Список необходимых з.ч. и/или работ " numFmtId="0">
      <sharedItems containsNonDate="0" containsString="0" containsBlank="1"/>
    </cacheField>
    <cacheField name=" 317 Фото неисправности " numFmtId="0">
      <sharedItems containsNonDate="0" containsString="0" containsBlank="1"/>
    </cacheField>
    <cacheField name=" 318 Осмотр жгута проводов двигателя" numFmtId="0">
      <sharedItems containsBlank="1"/>
    </cacheField>
    <cacheField name=" 318 Неисправность " numFmtId="0">
      <sharedItems containsNonDate="0" containsString="0" containsBlank="1"/>
    </cacheField>
    <cacheField name=" 318 Список необходимых з.ч. и/или работ " numFmtId="0">
      <sharedItems containsNonDate="0" containsString="0" containsBlank="1"/>
    </cacheField>
    <cacheField name=" 318 Фото неисправности " numFmtId="0">
      <sharedItems containsNonDate="0" containsString="0" containsBlank="1"/>
    </cacheField>
    <cacheField name=" 319 Осмотр топливопроводов и топливного насоса" numFmtId="0">
      <sharedItems containsBlank="1"/>
    </cacheField>
    <cacheField name=" 319 Неисправность " numFmtId="0">
      <sharedItems containsBlank="1"/>
    </cacheField>
    <cacheField name=" 319 Список необходимых з.ч. и/или работ " numFmtId="0">
      <sharedItems containsBlank="1"/>
    </cacheField>
    <cacheField name=" 319 Фото неисправности " numFmtId="0">
      <sharedItems containsBlank="1"/>
    </cacheField>
    <cacheField name=" 401 Осмотр бортовой передачи и ведущей звездочки" numFmtId="0">
      <sharedItems containsBlank="1"/>
    </cacheField>
    <cacheField name=" 401 Неисправность " numFmtId="0">
      <sharedItems containsBlank="1"/>
    </cacheField>
    <cacheField name=" 401 Список необходимых з.ч. и/или работ " numFmtId="0">
      <sharedItems containsBlank="1"/>
    </cacheField>
    <cacheField name=" 401 Фото неисправности " numFmtId="0">
      <sharedItems containsBlank="1"/>
    </cacheField>
    <cacheField name=" 402 Осмотр поддерживающих катков" numFmtId="0">
      <sharedItems containsBlank="1"/>
    </cacheField>
    <cacheField name=" 402 Неисправность " numFmtId="0">
      <sharedItems containsNonDate="0" containsString="0" containsBlank="1"/>
    </cacheField>
    <cacheField name=" 402 Список необходимых з.ч. и/или работ " numFmtId="0">
      <sharedItems containsNonDate="0" containsString="0" containsBlank="1"/>
    </cacheField>
    <cacheField name=" 402 Фото неисправности " numFmtId="0">
      <sharedItems containsNonDate="0" containsString="0" containsBlank="1"/>
    </cacheField>
    <cacheField name=" 403 Осмотр опорных катков" numFmtId="0">
      <sharedItems containsBlank="1"/>
    </cacheField>
    <cacheField name=" 403 Неисправность " numFmtId="0">
      <sharedItems containsNonDate="0" containsString="0" containsBlank="1"/>
    </cacheField>
    <cacheField name=" 403 Список необходимых з.ч. и/или работ " numFmtId="0">
      <sharedItems containsNonDate="0" containsString="0" containsBlank="1"/>
    </cacheField>
    <cacheField name=" 403 Фото неисправности " numFmtId="0">
      <sharedItems containsNonDate="0" containsString="0" containsBlank="1"/>
    </cacheField>
    <cacheField name=" 404 Осмотр тележки с гусеничными катками" numFmtId="0">
      <sharedItems containsBlank="1"/>
    </cacheField>
    <cacheField name=" 404 Неисправность " numFmtId="0">
      <sharedItems containsNonDate="0" containsString="0" containsBlank="1"/>
    </cacheField>
    <cacheField name=" 404 Список необходимых з.ч. и/или работ " numFmtId="0">
      <sharedItems containsNonDate="0" containsString="0" containsBlank="1"/>
    </cacheField>
    <cacheField name=" 404 Фото неисправности " numFmtId="0">
      <sharedItems containsNonDate="0" containsString="0" containsBlank="1"/>
    </cacheField>
    <cacheField name=" 405 Осмотр передних натяжных колес" numFmtId="0">
      <sharedItems containsBlank="1"/>
    </cacheField>
    <cacheField name=" 405 Неисправность " numFmtId="0">
      <sharedItems containsNonDate="0" containsString="0" containsBlank="1"/>
    </cacheField>
    <cacheField name=" 405 Список необходимых з.ч. и/или работ " numFmtId="0">
      <sharedItems containsNonDate="0" containsString="0" containsBlank="1"/>
    </cacheField>
    <cacheField name=" 405 Фото неисправности " numFmtId="0">
      <sharedItems containsNonDate="0" containsString="0" containsBlank="1"/>
    </cacheField>
    <cacheField name=" 406 Осмотр направляющих и отбойников гусеничных лент" numFmtId="0">
      <sharedItems containsBlank="1"/>
    </cacheField>
    <cacheField name=" 406 Неисправность " numFmtId="0">
      <sharedItems containsNonDate="0" containsString="0" containsBlank="1"/>
    </cacheField>
    <cacheField name=" 406 Список необходимых з.ч. и/или работ " numFmtId="0">
      <sharedItems containsNonDate="0" containsString="0" containsBlank="1"/>
    </cacheField>
    <cacheField name=" 406 Фото неисправности " numFmtId="0">
      <sharedItems containsNonDate="0" containsString="0" containsBlank="1"/>
    </cacheField>
    <cacheField name=" 407 Осмотр башмаков гусеницы" numFmtId="0">
      <sharedItems containsBlank="1"/>
    </cacheField>
    <cacheField name=" 407 Неисправность " numFmtId="0">
      <sharedItems containsNonDate="0" containsString="0" containsBlank="1"/>
    </cacheField>
    <cacheField name=" 407 Список необходимых з.ч. и/или работ " numFmtId="0">
      <sharedItems containsNonDate="0" containsString="0" containsBlank="1"/>
    </cacheField>
    <cacheField name=" 407 Фото неисправности " numFmtId="0">
      <sharedItems containsNonDate="0" containsString="0" containsBlank="1"/>
    </cacheField>
    <cacheField name=" 408 Осмотр звена гусеницы/пальца/втулки" numFmtId="0">
      <sharedItems containsBlank="1"/>
    </cacheField>
    <cacheField name=" 408 Неисправность " numFmtId="0">
      <sharedItems containsNonDate="0" containsString="0" containsBlank="1"/>
    </cacheField>
    <cacheField name=" 408 Список необходимых з.ч. и/или работ " numFmtId="0">
      <sharedItems containsNonDate="0" containsString="0" containsBlank="1"/>
    </cacheField>
    <cacheField name=" 408 Фото неисправности " numFmtId="0">
      <sharedItems containsNonDate="0" containsString="0" containsBlank="1"/>
    </cacheField>
    <cacheField name=" 409 Осмотр рамы ходовой тележки опорных катков" numFmtId="0">
      <sharedItems containsBlank="1"/>
    </cacheField>
    <cacheField name=" 409 Неисправность " numFmtId="0">
      <sharedItems containsBlank="1"/>
    </cacheField>
    <cacheField name=" 409 Список необходимых з.ч. и/или работ " numFmtId="0">
      <sharedItems containsBlank="1"/>
    </cacheField>
    <cacheField name=" 409 Фото неисправности " numFmtId="0">
      <sharedItems containsBlank="1"/>
    </cacheField>
    <cacheField name=" 410 Осмотр балансирной балки" numFmtId="0">
      <sharedItems containsBlank="1"/>
    </cacheField>
    <cacheField name=" 410 Неисправность " numFmtId="0">
      <sharedItems containsNonDate="0" containsString="0" containsBlank="1"/>
    </cacheField>
    <cacheField name=" 410 Список необходимых з.ч. и/или работ " numFmtId="0">
      <sharedItems containsNonDate="0" containsString="0" containsBlank="1"/>
    </cacheField>
    <cacheField name=" 410 Фото неисправности " numFmtId="0">
      <sharedItems containsNonDate="0" containsString="0" containsBlank="1"/>
    </cacheField>
    <cacheField name=" 411 Осмотр шарниров ходовых телег" numFmtId="0">
      <sharedItems containsBlank="1"/>
    </cacheField>
    <cacheField name=" 411 Неисправность " numFmtId="0">
      <sharedItems containsNonDate="0" containsString="0" containsBlank="1"/>
    </cacheField>
    <cacheField name=" 411 Список необходимых з.ч. и/или работ " numFmtId="0">
      <sharedItems containsNonDate="0" containsString="0" containsBlank="1"/>
    </cacheField>
    <cacheField name=" 411 Фото неисправности " numFmtId="0">
      <sharedItems containsNonDate="0" containsString="0" containsBlank="1"/>
    </cacheField>
    <cacheField name=" 412 Осмотр нижних защит" numFmtId="0">
      <sharedItems containsBlank="1"/>
    </cacheField>
    <cacheField name=" 412 Неисправность " numFmtId="0">
      <sharedItems containsBlank="1"/>
    </cacheField>
    <cacheField name=" 412 Список необходимых з.ч. и/или работ " numFmtId="0">
      <sharedItems containsBlank="1"/>
    </cacheField>
    <cacheField name=" 412 Фото неисправности " numFmtId="0">
      <sharedItems containsBlank="1"/>
    </cacheField>
    <cacheField name=" 501 Осмотр шарнирных соединений отвала, стабилизатора поперечной устойчивости, цилиндра перекоса отвала" numFmtId="0">
      <sharedItems containsBlank="1"/>
    </cacheField>
    <cacheField name=" 501 Неисправность " numFmtId="0">
      <sharedItems containsNonDate="0" containsString="0" containsBlank="1"/>
    </cacheField>
    <cacheField name=" 501 Список необходимых з.ч. и/или работ " numFmtId="0">
      <sharedItems containsNonDate="0" containsString="0" containsBlank="1"/>
    </cacheField>
    <cacheField name=" 501 Фото неисправности " numFmtId="0">
      <sharedItems containsNonDate="0" containsString="0" containsBlank="1"/>
    </cacheField>
    <cacheField name=" 502 Осмотр цилиндра подъема отвала" numFmtId="0">
      <sharedItems containsBlank="1"/>
    </cacheField>
    <cacheField name=" 502 Неисправность " numFmtId="0">
      <sharedItems containsBlank="1"/>
    </cacheField>
    <cacheField name=" 502 Список необходимых з.ч. и/или работ " numFmtId="0">
      <sharedItems containsBlank="1"/>
    </cacheField>
    <cacheField name=" 502 Фото неисправности " numFmtId="0">
      <sharedItems containsBlank="1"/>
    </cacheField>
    <cacheField name=" 503 Осмотр режущей кромки отвала и подрезных ножей" numFmtId="0">
      <sharedItems containsBlank="1"/>
    </cacheField>
    <cacheField name=" 503 Неисправность " numFmtId="0">
      <sharedItems containsNonDate="0" containsString="0" containsBlank="1"/>
    </cacheField>
    <cacheField name=" 503 Список необходимых з.ч. и/или работ " numFmtId="0">
      <sharedItems containsNonDate="0" containsString="0" containsBlank="1"/>
    </cacheField>
    <cacheField name=" 503 Фото неисправности " numFmtId="0">
      <sharedItems containsNonDate="0" containsString="0" containsBlank="1"/>
    </cacheField>
    <cacheField name=" 504 Осмотр рыхлителя" numFmtId="0">
      <sharedItems containsBlank="1"/>
    </cacheField>
    <cacheField name=" 504 Неисправность " numFmtId="0">
      <sharedItems containsNonDate="0" containsString="0" containsBlank="1"/>
    </cacheField>
    <cacheField name=" 504 Список необходимых з.ч. и/или работ " numFmtId="0">
      <sharedItems containsNonDate="0" containsString="0" containsBlank="1"/>
    </cacheField>
    <cacheField name=" 504 Фото неисправности " numFmtId="0">
      <sharedItems containsNonDate="0" containsString="0" containsBlank="1"/>
    </cacheField>
    <cacheField name=" 505 Осмотр цилиндра рыхлителя" numFmtId="0">
      <sharedItems containsBlank="1"/>
    </cacheField>
    <cacheField name=" 505 Неисправность " numFmtId="0">
      <sharedItems containsNonDate="0" containsString="0" containsBlank="1"/>
    </cacheField>
    <cacheField name=" 505 Список необходимых з.ч. и/или работ " numFmtId="0">
      <sharedItems containsNonDate="0" containsString="0" containsBlank="1"/>
    </cacheField>
    <cacheField name=" 505 Фото неисправности " numFmtId="0">
      <sharedItems containsNonDate="0" containsString="0" containsBlank="1"/>
    </cacheField>
    <cacheField name=" 601 Номера устранённых неисправностей" numFmtId="0">
      <sharedItems containsBlank="1"/>
    </cacheField>
    <cacheField name=" Оставить пожелание по использованию формы" numFmtId="0">
      <sharedItems containsBlank="1"/>
    </cacheField>
    <cacheField name=" Пожелания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n v="18"/>
    <s v="1678042324"/>
    <x v="0"/>
    <s v="АО «Карельский окатыш»"/>
    <s v="Т-35.01Я"/>
    <n v="1143"/>
    <s v="14"/>
    <s v="8114"/>
    <m/>
    <s v="Костенко Виталий Владимирович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1680673437"/>
    <x v="1"/>
    <s v="АО «Карельский окатыш»"/>
    <s v="Т-40.01Я"/>
    <n v="25"/>
    <s v="13"/>
    <s v="3592"/>
    <m/>
    <s v="Рогачев Дмитрий Леонидович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"/>
    <s v="1680684394"/>
    <x v="1"/>
    <s v="АО «Карельский окатыш»"/>
    <s v="Т-35.02К"/>
    <n v="542"/>
    <s v="15"/>
    <s v="18216"/>
    <m/>
    <s v="Самченко Д. В.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1682807856"/>
    <x v="2"/>
    <s v="АО «Карельский окатыш»"/>
    <s v="Т-40.01Я"/>
    <n v="24"/>
    <s v="12"/>
    <s v="3232"/>
    <m/>
    <s v="Середа Леонид Александрович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1683480133"/>
    <x v="2"/>
    <s v="ПАО&quot;Северсталь&quot;"/>
    <s v="Т-15.01К"/>
    <n v="434"/>
    <s v="9087"/>
    <m/>
    <m/>
    <s v="Бурмистров А.В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1684289640"/>
    <x v="3"/>
    <s v="ООО &quot;Жилищные услуги&quot;"/>
    <s v="Т-9.01Я"/>
    <n v="1157"/>
    <m/>
    <s v="273"/>
    <m/>
    <s v="Бурмистров А.В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6"/>
    <s v="1684617891"/>
    <x v="4"/>
    <s v="АО &quot;Севералмаз&quot;"/>
    <s v="Т-35.01Я"/>
    <n v="1215"/>
    <s v="30"/>
    <s v="5935"/>
    <m/>
    <s v="Бельский Олег Владимирович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1703176807"/>
    <x v="5"/>
    <s v="АГД ДАЙМОНС"/>
    <s v="Т-35.02К"/>
    <s v="608"/>
    <s v="88"/>
    <s v="2512"/>
    <m/>
    <s v="Тарасюк Д.П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1"/>
    <s v="1705155183"/>
    <x v="6"/>
    <s v="АО &quot;Севералмаз&quot;"/>
    <s v="Т-35.01Я"/>
    <n v="1214"/>
    <s v="29"/>
    <s v="6027"/>
    <m/>
    <s v="Жигалов Роман Сергеевич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3"/>
    <s v="1709770827"/>
    <x v="7"/>
    <s v="АО &quot;Севералмаз&quot;"/>
    <s v="Т-35.01Я"/>
    <s v="1216"/>
    <s v="34"/>
    <s v="6014"/>
    <m/>
    <s v="Жигалов РС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4"/>
    <s v="1717963706"/>
    <x v="8"/>
    <s v="АО «Карельский окатыш»"/>
    <s v="Т-40.01Я"/>
    <s v="24"/>
    <s v="12"/>
    <s v="3499"/>
    <s v="Нет"/>
    <s v="Полевой"/>
    <m/>
    <m/>
    <s v="Да"/>
    <s v="Да"/>
    <m/>
    <s v="норма"/>
    <m/>
    <s v=" Нет осмотра"/>
    <m/>
    <m/>
    <m/>
    <s v=" Нет осмотра"/>
    <m/>
    <m/>
    <m/>
    <s v=" Нет осмотра"/>
    <m/>
    <m/>
    <m/>
    <s v=" Нет осмотра"/>
    <m/>
    <m/>
    <m/>
    <m/>
    <m/>
    <m/>
    <m/>
    <s v=" Нет осмотра"/>
    <m/>
    <m/>
    <m/>
    <s v=" Нет осмотра"/>
    <m/>
    <m/>
    <m/>
    <s v=" Нет осмотра"/>
    <m/>
    <m/>
    <m/>
    <s v=" Нет осмотра"/>
    <m/>
    <m/>
    <m/>
    <s v=" Есть замечания"/>
    <s v="Забит радиатор"/>
    <s v="Промыть"/>
    <s v="https://forms.yandex.ru/cloud/files?path=%2F7792313%2F662a0b29f47e739025d9e6f0_img20240411091626.jpg"/>
    <s v=" Нет осмотра"/>
    <m/>
    <m/>
    <m/>
    <s v=" ОК"/>
    <m/>
    <m/>
    <m/>
    <s v=" ОК"/>
    <m/>
    <m/>
    <m/>
    <s v=" ОК"/>
    <m/>
    <m/>
    <m/>
    <s v=" Есть замечания"/>
    <s v="Отпотевания"/>
    <s v="Заменить прокладки "/>
    <s v="https://forms.yandex.ru/cloud/files?path=%2F12567251%2F662a0b5f2530c29497619f13_img20240411085022.jpg"/>
    <s v=" ОК"/>
    <m/>
    <m/>
    <m/>
    <s v=" ОК"/>
    <m/>
    <m/>
    <m/>
    <s v=" ОК"/>
    <m/>
    <m/>
    <m/>
    <s v=" ОК"/>
    <m/>
    <m/>
    <m/>
    <s v=" Нет осмотра"/>
    <m/>
    <m/>
    <m/>
    <s v=" ОК"/>
    <m/>
    <m/>
    <m/>
    <s v=" ОК"/>
    <m/>
    <m/>
    <m/>
    <s v=" Нет осмотра"/>
    <m/>
    <m/>
    <m/>
    <s v=" Есть замечания"/>
    <s v="Течи вокруг фильтров"/>
    <s v="Устранить течи"/>
    <s v="https://forms.yandex.ru/cloud/files?path=%2F7792313%2F662a0c275056909059d81e25_img9378.jpg"/>
    <s v=" ОК"/>
    <m/>
    <m/>
    <m/>
    <s v=" ОК"/>
    <m/>
    <m/>
    <m/>
    <s v=" ОК"/>
    <m/>
    <m/>
    <m/>
    <s v=" ОК"/>
    <m/>
    <m/>
    <m/>
    <s v=" ОК"/>
    <m/>
    <m/>
    <m/>
    <s v=" ОК"/>
    <m/>
    <m/>
    <m/>
    <s v=" ОК"/>
    <m/>
    <m/>
    <m/>
    <s v=" ОК"/>
    <m/>
    <m/>
    <m/>
    <s v=" ОК"/>
    <m/>
    <m/>
    <m/>
    <s v=" ОК"/>
    <m/>
    <m/>
    <m/>
    <s v=" Нет осмотра"/>
    <m/>
    <m/>
    <m/>
    <s v=" Нет осмотра"/>
    <m/>
    <m/>
    <m/>
    <s v=" Нет осмотра"/>
    <m/>
    <m/>
    <m/>
    <s v=" Нет осмотра"/>
    <m/>
    <m/>
    <m/>
    <s v=" Нет осмотра"/>
    <m/>
    <m/>
    <m/>
    <s v=" ОК"/>
    <m/>
    <m/>
    <m/>
    <s v=" ОК"/>
    <m/>
    <m/>
    <m/>
    <s v="нет"/>
    <s v="Нет"/>
    <m/>
  </r>
  <r>
    <m/>
    <n v="71"/>
    <n v="1721018495"/>
    <x v="9"/>
    <s v="АО «Карельский окатыш»"/>
    <s v="Т-35.02К"/>
    <n v="542"/>
    <n v="15"/>
    <n v="18756"/>
    <s v="Да"/>
    <s v="Костенко Виталий Владимирович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6"/>
    <s v="1726146336"/>
    <x v="10"/>
    <s v="АГД Даймондс"/>
    <s v="Т-35.02К"/>
    <s v="608"/>
    <s v="88"/>
    <s v="3012"/>
    <s v="Нет"/>
    <s v="Димасик Сергеевич"/>
    <s v="https://forms.yandex.ru/cloud/files?path=%2F6250399%2F6637620890fa7bf3ddc93bc5_17149055917628153939090569245504.jpg"/>
    <s v="Падает сидение (пневматика) "/>
    <s v="Нет"/>
    <s v="Нет"/>
    <m/>
    <s v="Нлрмальный"/>
    <s v="Свист из моторного отсека"/>
    <s v="## Есть замечания"/>
    <s v="Со временем опускается сидение оператора"/>
    <s v="Слышимых утечек воздуха нет"/>
    <s v="https://forms.yandex.ru/cloud/files?path=%2F9713463%2F66376307068ff0f0f3a71bfb_17149058523926496612712500390207.jpg"/>
    <s v="## ОК"/>
    <m/>
    <m/>
    <m/>
    <s v="## ОК"/>
    <m/>
    <m/>
    <m/>
    <s v="## ОК"/>
    <m/>
    <m/>
    <m/>
    <m/>
    <m/>
    <m/>
    <m/>
    <s v="## ОК"/>
    <m/>
    <m/>
    <m/>
    <s v="## ОК"/>
    <m/>
    <m/>
    <m/>
    <s v="## ОК"/>
    <m/>
    <m/>
    <m/>
    <s v="## Есть замечания"/>
    <s v="Ослабление ремня привода вентилятора"/>
    <s v="Требуется диагностика"/>
    <s v="https://forms.yandex.ru/cloud/files?path=%2F9713463%2F663763b1068ff0f107a71be3_17149060215337420047253199888716.jpg"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Есть замечания"/>
    <s v="Утечка по сварному шву бортового редуктора"/>
    <s v="Требуется диагностика"/>
    <s v="https://forms.yandex.ru/cloud/files?path=%2F9713463%2F663763f0e010dbf1a4d04d5c_17149060830402831928152913634871.jpg"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0"/>
    <s v="Нет"/>
    <m/>
  </r>
  <r>
    <m/>
    <n v="75"/>
    <s v="1726680212"/>
    <x v="11"/>
    <s v="АО &quot;Севералмаз&quot;"/>
    <s v="Т-35.01Я"/>
    <s v="1215"/>
    <s v="30"/>
    <s v="6000"/>
    <s v="Да"/>
    <s v="Постников ею"/>
    <s v="https://forms.yandex.ru/cloud/files?path=%2F8174359%2F6634d80a90fa7bbf25c93bc8_2f26ecf0_dd76_4b3c_ad29_7639b03c3f2e.jpeg"/>
    <s v="Двигатель коптит под большой нагрузкой"/>
    <s v="Да"/>
    <s v="Да"/>
    <s v="Не проверялась"/>
    <s v="Чёрный дым под нагрузкой"/>
    <s v="Не проверялась"/>
    <s v="## Есть замечания"/>
    <s v="Порно пыльник рычага выбора передач"/>
    <s v="Пыльник пыльник"/>
    <s v="https://forms.yandex.ru/cloud/files?path=%2F8174359%2F6634d87902848fbfb724ad58_08c13b13_2b9b_49df_b2de_181e33c95150.jpeg"/>
    <s v="## Есть замечания"/>
    <s v="Разбито зеркало слева Отсутствуют баллоны системы пожаротушения справа. разбиты крепления насоса смазки"/>
    <s v="Заменить зеркало . заменить баллон системы пожаротушения . Требуется установка поддержки колбы Насоса смазка."/>
    <s v="https://forms.yandex.ru/cloud/files?path=%2F12644002%2F6638722a7c1515feae5e322c_a4f4f2be_fcfa_4882_97be_c8d364ec678f.jpeg, https://forms.yandex.ru/cloud/files?path=%2F4488571%2F6638722a7c1515fe965e3235_0520060c_c2e2_4361_b8a6_58fd42b18502.jpeg, https://forms.yandex.ru/cloud/files?path=%2F6456219%2F6638722a3e9d081aaf502983_779050ee_15a4_4897_96de_35519316c645.jpeg, https://forms.yandex.ru/cloud/files?path=%2F7792313%2F6638722a90fa7b0db2c93bd9_1aa1ed1a_edf5_4b4e_bdfc_7480648af613.jpeg"/>
    <s v="## ОК"/>
    <m/>
    <m/>
    <m/>
    <s v="## ОК"/>
    <m/>
    <m/>
    <m/>
    <m/>
    <m/>
    <m/>
    <m/>
    <s v="## Есть замечания"/>
    <s v="Отсутствует поддержка перил слева"/>
    <s v="Бабушки и кусок трубы"/>
    <s v="https://forms.yandex.ru/cloud/files?path=%2F9708219%2F6634d8c15d2a06ca25498003_c334e6ad_9c22_47ca_81d5_905a82a5c867.jpeg"/>
    <s v="## Нет осмотра"/>
    <m/>
    <m/>
    <m/>
    <s v="## Есть замечания"/>
    <s v="Отсутствуют Боковины на лево разбитый крепления крепления . Трещина на раме облицовки них возле кабины"/>
    <s v="Боковины левая  +верхняя оборотная для ремонта "/>
    <s v="https://forms.yandex.ru/cloud/files?path=%2F11377140%2F6634d96cf47e73bfbed9e703_32e032f2_7cae_44b0_b361_657461089080.jpeg, https://forms.yandex.ru/cloud/files?path=%2F4387859%2F6634d911068ff0bccca71bed_19868452_afd2_4480_987f_92a426a535b1.jpeg, https://forms.yandex.ru/cloud/files?path=%2F4412411%2F6634d91143f74fbfc05ff9ff_52c4cdcd_1d3b_40ce_83d2_9f521abd13c8.jpeg, https://forms.yandex.ru/cloud/files?path=%2F6250399%2F6634d91190fa7bbf8bc93bc5_05339662_631d_4402_8bf9_b7eb899f0efd.jpeg, https://forms.yandex.ru/cloud/files?path=%2F8174359%2F6634d96c3e9d08caa7502946_fc3f3791_1f01_43e6_99ba_f44a00155ae3.jpeg"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Есть замечания"/>
    <s v="При выполнении то турбины не вскрывались"/>
    <s v="Проверить турбины методом скрыть проверка вала либо проверить давление "/>
    <s v="https://forms.yandex.ru/cloud/files?path=%2F12567251%2F6634d9f102848fc00124ad4c_54946d71_ea3a_4936_a242_2ec032dcdef9.jpeg, https://forms.yandex.ru/cloud/files?path=%2F9713463%2F6634d9f1e010dbbd7fd04d4f_26f573f9_b707_493c_96ca_391d253cc3e8.jpeg"/>
    <s v="## Есть замечания"/>
    <s v="Отсутствует оголовок выхлопной трубыВозможно попадания осадков в выхлопную систему двигателя"/>
    <s v="Установить хлопушку либо отвод 90°"/>
    <s v="https://forms.yandex.ru/cloud/files?path=%2F5491403%2F6638705173cee7bdb45bafbe_63e59786_ae62_46df_ae10_3001d001bfa0.jpeg"/>
    <s v="## Нет осмотра"/>
    <m/>
    <m/>
    <m/>
    <s v="## Нет осмотра"/>
    <m/>
    <m/>
    <m/>
    <s v="## Нет осмотра"/>
    <m/>
    <m/>
    <m/>
    <s v="## Есть замечания"/>
    <s v="Сломана база фильтров"/>
    <s v="База фильтров фильтров грубой очистки"/>
    <s v="https://forms.yandex.ru/cloud/files?path=%2F5491403%2F66386ff7d046880b56d55834_51f9e3b5_294c_4de1_8426_f6f7dbef68bc.jpeg"/>
    <s v="## Есть замечания"/>
    <s v="Не затянут Болт сегмента"/>
    <s v="Подтянуть балты"/>
    <s v="https://forms.yandex.ru/cloud/files?path=%2F12496708%2F663870ad505690a5d10743de_05960043_42ed_4cce_8178_7af0288067d2.jpeg"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Есть замечания"/>
    <s v="Отсутствует петля на второй защите справа"/>
    <s v="Петля палец крепления защиты Слесарные работы"/>
    <s v="https://forms.yandex.ru/cloud/files?path=%2F5465261%2F6634db1184227cbd60107e8c_58ee7ca1_b774_4847_948b_19c436209251.jpeg"/>
    <s v="## ОК"/>
    <m/>
    <m/>
    <m/>
    <s v="## ОК"/>
    <m/>
    <m/>
    <m/>
    <s v="## ОК"/>
    <m/>
    <m/>
    <m/>
    <s v="## ОК"/>
    <m/>
    <m/>
    <m/>
    <s v="## ОК"/>
    <m/>
    <m/>
    <m/>
    <s v="Регулятора август и облицовка не устранены"/>
    <s v="Да"/>
    <s v="Отсутствует пункт 205 Добавить пункты по системе смазки и системы пожаротушения"/>
  </r>
  <r>
    <m/>
    <m/>
    <s v="1727254099"/>
    <x v="11"/>
    <s v="АО &quot;Севералмаз&quot;"/>
    <s v="Т-45.03Я"/>
    <s v="1"/>
    <s v="1"/>
    <s v="245"/>
    <s v="Нет"/>
    <s v="Мышов ЛА"/>
    <m/>
    <s v="Перегрев масла трансмиссии. Не поднимается отвал на больших оборотах ДВС (выше 1500об. мин.) . Низкая мощность ДВС. Неудобные органы управления. Стеклоочистители не чистят зону просмотра. "/>
    <s v="Да"/>
    <s v="Да"/>
    <s v="Неисправность ЭБУ трансмиссии или линии связи."/>
    <s v="Бесцветный"/>
    <m/>
    <s v="## ОК"/>
    <m/>
    <m/>
    <m/>
    <s v="## ОК"/>
    <m/>
    <m/>
    <m/>
    <s v="## ОК"/>
    <m/>
    <m/>
    <m/>
    <s v="## Есть замечания"/>
    <s v="Повреждение РВД привода мотора вентилятира."/>
    <s v="Замена"/>
    <s v="https://forms.yandex.ru/cloud/files?path=%2F5465261%2F6638e69d90fa7b2458c93bcf_img20240506171644.jpg"/>
    <s v="## Есть замечания"/>
    <s v="Деформация смотровых окон "/>
    <s v="Замена"/>
    <s v="https://forms.yandex.ru/cloud/files?path=%2F12644002%2F6638e6af2530c25e99b66015_img20240506171154.jpg"/>
    <s v="## Есть замечания"/>
    <s v="Поручень правого бруса отвала"/>
    <s v="Ремонт"/>
    <s v="https://forms.yandex.ru/cloud/files?path=%2F4387859%2F6638e6bf73cee7d5705baf95_img20240506171102.jpg"/>
    <s v="## Есть замечания"/>
    <s v="Отсутствует левая фара "/>
    <s v="Установить фару"/>
    <s v="https://forms.yandex.ru/cloud/files?path=%2F8174359%2F6638e6cc7c151524b95e322d_img20240506170948.jpg"/>
    <s v="## ОК"/>
    <m/>
    <m/>
    <m/>
    <s v="## ОК"/>
    <m/>
    <m/>
    <m/>
    <s v="## Есть замечания"/>
    <s v="Не работает вентилятор радиатора"/>
    <s v="Ремонт."/>
    <s v="https://forms.yandex.ru/cloud/files?path=%2F6250399%2F6638e7383e9d08324d502947_upload20240506172038011.jpg"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ОК"/>
    <m/>
    <m/>
    <m/>
    <s v="## Есть замечания"/>
    <s v="Течь масла по штоку натяжителя с правой и левой ходовых телег"/>
    <s v="Ремонт"/>
    <s v="https://forms.yandex.ru/cloud/files?path=%2F6219879%2F6638e7775d2a0631c0498031_upload20240506172139869.jpg"/>
    <s v="## ОК"/>
    <m/>
    <m/>
    <m/>
    <s v="## ОК"/>
    <m/>
    <m/>
    <m/>
    <s v="## Есть замечания"/>
    <s v="Отсутствует правая передняя защита."/>
    <s v="Монтаж новой"/>
    <s v="https://forms.yandex.ru/cloud/files?path=%2F6250399%2F6638e7972530c25f2bb65fe2_upload20240506172213226.jpg"/>
    <s v="## ОК"/>
    <m/>
    <m/>
    <m/>
    <s v="## Есть замечания"/>
    <s v="Утечка масла по штоку правого цилиндра подъёма отвала , классификация утечки№ 1"/>
    <s v="Ремонт"/>
    <s v="https://forms.yandex.ru/cloud/files?path=%2F12496708%2F6638e7c790fa7b248cc93bad_upload20240506172259908.jpg"/>
    <s v="## ОК"/>
    <m/>
    <m/>
    <m/>
    <s v="## ОК"/>
    <m/>
    <m/>
    <m/>
    <s v="## ОК"/>
    <m/>
    <m/>
    <m/>
    <s v="0"/>
    <s v="Да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B3587-19AC-4080-869E-557A5AEBE50C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7">
  <location ref="A3:D16" firstHeaderRow="0" firstDataRow="1" firstDataCol="1"/>
  <pivotFields count="185">
    <pivotField dataField="1" showAll="0" countASubtotal="1"/>
    <pivotField dataField="1" showAll="0" countASubtotal="1"/>
    <pivotField dataField="1" showAll="0" countASubtotal="1"/>
    <pivotField axis="axisRow" showAll="0" sortType="ascending">
      <items count="16">
        <item n="2024.05.06" m="1" x="12"/>
        <item x="0"/>
        <item x="1"/>
        <item x="2"/>
        <item x="3"/>
        <item x="4"/>
        <item x="5"/>
        <item x="6"/>
        <item x="7"/>
        <item x="8"/>
        <item x="9"/>
        <item m="1" x="14"/>
        <item m="1" x="13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-во согласованых КП" fld="0" subtotal="count" showDataAs="runTotal" baseField="3" baseItem="0"/>
    <dataField name="Кол-во созданых потребностей номеклатуры" fld="1" subtotal="count" showDataAs="runTotal" baseField="3" baseItem="0"/>
    <dataField name="Кол-во полученных инспекций" fld="2" subtotal="count" showDataAs="runTotal" baseField="3" baseItem="0"/>
  </dataFields>
  <formats count="1">
    <format dxfId="5">
      <pivotArea dataOnly="0" labelOnly="1" fieldPosition="0">
        <references count="1">
          <reference field="3" count="1">
            <x v="0"/>
          </reference>
        </references>
      </pivotArea>
    </format>
  </formats>
  <chartFormats count="3">
    <chartFormat chart="5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7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4" format="7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BC275-F97B-4A15-BF55-7F3EBD2B1FD7}" name="Таблица3" displayName="Таблица3" ref="A1:GC16" totalsRowShown="0" headerRowDxfId="26">
  <autoFilter ref="A1:GC16" xr:uid="{478BC275-F97B-4A15-BF55-7F3EBD2B1FD7}"/>
  <sortState xmlns:xlrd2="http://schemas.microsoft.com/office/spreadsheetml/2017/richdata2" ref="A2:GC16">
    <sortCondition ref="D2:D16"/>
  </sortState>
  <tableColumns count="185">
    <tableColumn id="1" xr3:uid="{F2263A91-178D-4A61-8263-CC88965AA570}" name="Согласовано" dataDxfId="25" totalsRowDxfId="24"/>
    <tableColumn id="2" xr3:uid="{B58E5504-6139-4CBD-981D-FE253B70C05C}" name="Заявка на закуп" dataDxfId="23" totalsRowDxfId="22"/>
    <tableColumn id="3" xr3:uid="{4B127B29-1612-4DB0-AC6F-EB1F95D218BC}" name="ID" dataDxfId="21" totalsRowDxfId="20"/>
    <tableColumn id="4" xr3:uid="{47CADF03-09C6-4D2E-97B8-26D4485F2B76}" name="Время создания" dataDxfId="19" totalsRowDxfId="18"/>
    <tableColumn id="5" xr3:uid="{ADEA9671-656A-48A5-90A1-91BD9E792FB6}" name="Заказчик"/>
    <tableColumn id="6" xr3:uid="{63588BB1-6B8D-4BA0-AEC5-0CE6DCFE5BD4}" name=" Машина" dataDxfId="17" totalsRowDxfId="16"/>
    <tableColumn id="7" xr3:uid="{6F13F1A9-6907-43C4-94D5-2957124CF1B6}" name=" Серийный номер" dataDxfId="15" totalsRowDxfId="14"/>
    <tableColumn id="8" xr3:uid="{7A7363D7-410B-4BA4-84F8-362427EE3349}" name=" Хозяйственный номер" dataDxfId="13" totalsRowDxfId="12"/>
    <tableColumn id="9" xr3:uid="{69563400-AC03-4134-A90E-2E33C9A2D84B}" name=" Наработка" dataDxfId="11" totalsRowDxfId="10"/>
    <tableColumn id="10" xr3:uid="{9DF4D31C-E867-4903-BFF4-579758C38B1D}" name="Машина чистая?" dataDxfId="9" totalsRowDxfId="8"/>
    <tableColumn id="11" xr3:uid="{89E25E56-A783-4D72-AB81-DA2A5902D51C}" name=" Исполнитель" dataDxfId="7" totalsRowDxfId="6"/>
    <tableColumn id="12" xr3:uid="{8536F431-A8C1-47F7-8E86-CA4B185C02CE}" name=" Общий вид машины"/>
    <tableColumn id="13" xr3:uid="{C1F4735B-6BC5-422C-AD99-B1B878C12594}" name=" 101 Свяжитесь с клиентом, чтобы узнать о жалобах оператора"/>
    <tableColumn id="14" xr3:uid="{67527F24-C9BC-43AF-A958-F446AD95777F}" name=" 102 Подготовьте машину к проверке"/>
    <tableColumn id="15" xr3:uid="{B79852DF-85F4-4486-845D-D9C3177284AF}" name=" 103 Проведение проверки безопасности/подготовительной проверки"/>
    <tableColumn id="16" xr3:uid="{D4DDF0D9-8700-4501-8F03-D08596D3ABB0}" name=" 104 Загрузка кодов неисправностей машины"/>
    <tableColumn id="17" xr3:uid="{A1209466-A848-4DE0-9113-235454A75D90}" name=" 105 Обратите внимание на цвет выхлопных газов двигателя"/>
    <tableColumn id="18" xr3:uid="{1BBAB8A5-C485-44A1-BF50-24E6EF257F13}" name=" 106 Прислушивайтесь к необычным шумам"/>
    <tableColumn id="19" xr3:uid="{990F6202-9909-4680-8C04-1EDB6A4AD517}" name=" 201 Внутренний осмотр кабины"/>
    <tableColumn id="20" xr3:uid="{F9CEAF6A-3915-4212-BB37-7C5BE2EA38C9}" name=" 201 Неисправность "/>
    <tableColumn id="21" xr3:uid="{9C728103-71F3-45D7-9844-EB78C88A1203}" name=" 201 Список необходимых з.ч. и/или работ "/>
    <tableColumn id="22" xr3:uid="{611B3EFD-7758-4D7E-91F9-9A27F64F5817}" name=" 201 Фото неисправности "/>
    <tableColumn id="23" xr3:uid="{863DD4B1-D533-41F4-8B10-607EB5682DE2}" name=" 202 Внешний осмотр кабины"/>
    <tableColumn id="24" xr3:uid="{B2D450A7-CB6D-41AF-90DA-3EFB256C8589}" name=" 202 Неисправность "/>
    <tableColumn id="25" xr3:uid="{DB86F119-D4F0-4C27-BE2E-AFA95EAA9129}" name=" 202 Список необходимых з.ч. и/или работ "/>
    <tableColumn id="26" xr3:uid="{B2950BFF-410C-4524-B446-AEF1CCFB660B}" name=" 202 Фото неисправности "/>
    <tableColumn id="27" xr3:uid="{7B4EB277-4CC8-4C26-BFEA-4C8D509F4512}" name=" 203 Осмотр аккумуляторов и аккумуляторных кабелей"/>
    <tableColumn id="28" xr3:uid="{59883F05-E6D7-4357-BCAC-DCD20979787D}" name=" 203 Неисправность "/>
    <tableColumn id="29" xr3:uid="{7C89B52B-269F-4C08-932F-D804D64C4539}" name=" 203 Список необходимых з.ч. и/или работ "/>
    <tableColumn id="30" xr3:uid="{C7991E52-C688-4284-A420-4B49ED311EF9}" name=" 203 Фото неисправности "/>
    <tableColumn id="31" xr3:uid="{2DF183B5-C255-4264-BCC4-D5E9B9E338F4}" name=" 204 Осмотр  отсеков фильтров гидравлики и трансмиссии"/>
    <tableColumn id="32" xr3:uid="{43FC7D98-76A8-4881-8BFA-3494DA23B5D3}" name=" 204 Неисправность "/>
    <tableColumn id="33" xr3:uid="{081CB96B-6BA1-4FC2-8627-74F6F5787A77}" name=" 204 Список необходимых з.ч. и/или работ "/>
    <tableColumn id="34" xr3:uid="{C4FD2A26-EDCC-4240-8BA6-E43E3BD17394}" name=" 204 Фото неисправности "/>
    <tableColumn id="35" xr3:uid="{ABBD867D-C054-4C57-8AF1-FDEF3ECECCF7}" name=" 205 Осмотр гидравлического бака"/>
    <tableColumn id="36" xr3:uid="{032DAAB6-1567-4080-92CB-0CE3C3E35AA6}" name=" 205 Неисправность "/>
    <tableColumn id="37" xr3:uid="{B4947043-1533-4BF3-9724-05BCC9B7EBC1}" name=" 205 Список необходимых з.ч. и/или работ "/>
    <tableColumn id="38" xr3:uid="{8FE4EF99-7804-4819-94AA-649DF7761F53}" name=" 205 Фото неисправности "/>
    <tableColumn id="39" xr3:uid="{7876E14A-467F-4297-8DA6-085FBDDFFFB0}" name=" 301 Осмотр ступенек и перил"/>
    <tableColumn id="40" xr3:uid="{19A2ACC7-3584-43BC-BEEC-E4CFD3793EDD}" name=" 301 Неисправность "/>
    <tableColumn id="41" xr3:uid="{D6C8FFBE-0B72-4A5C-BCC2-B1583E670EB6}" name=" 301 Список необходимых з.ч. и/или работ "/>
    <tableColumn id="42" xr3:uid="{CDDFBEAA-D08F-49CA-A8E9-F695F1B63C90}" name=" 301 Фото неисправности "/>
    <tableColumn id="43" xr3:uid="{3405FBAA-BB8C-4D37-BD8F-1BCED9583EF3}" name=" 302 Осмотр рабочего освещения"/>
    <tableColumn id="44" xr3:uid="{68C03F95-CA71-4FFA-9F37-22A1E8B4F859}" name=" 302 Неисправность "/>
    <tableColumn id="45" xr3:uid="{8B5D514A-0278-49A3-BEDB-249FEA0865E4}" name=" 302 Список необходимых з.ч. и/или работ "/>
    <tableColumn id="46" xr3:uid="{3130ED06-1AA7-4732-BB9C-843A54F5EDC9}" name=" 302 Фото неисправности "/>
    <tableColumn id="47" xr3:uid="{CCBD7697-11F1-459F-95F2-580A672A60EE}" name=" 303 Осмотр капота, платформы и дверцы доступа"/>
    <tableColumn id="48" xr3:uid="{51B8DEB5-5B22-4897-975A-9EE8C2988C05}" name=" 303 Неисправность "/>
    <tableColumn id="49" xr3:uid="{F031D0F9-4697-48F0-9024-43E98C0AA0D7}" name=" 303 Список необходимых з.ч. и/или работ "/>
    <tableColumn id="50" xr3:uid="{9E3F9F11-23AE-4518-8399-0DBB28E625E7}" name=" 303 Фото неисправности "/>
    <tableColumn id="51" xr3:uid="{4D671942-CD33-4A1A-94B6-0142A6DDA463}" name=" 304 Защита вентилятора и осмотр вентилятора"/>
    <tableColumn id="52" xr3:uid="{A9547A56-68F1-4FE1-8FCC-91442B9C7C61}" name=" 304 Неисправность "/>
    <tableColumn id="53" xr3:uid="{7A46D53F-1A6E-48D5-AE2B-164847EB05D6}" name=" 304 Список необходимых з.ч. и/или работ "/>
    <tableColumn id="54" xr3:uid="{DB3FFC74-2AAB-4739-84F1-EFDAD4EA4759}" name=" 304 Фото неисправности "/>
    <tableColumn id="55" xr3:uid="{2B28D3AA-D3D7-4D96-910C-26AA6FDD4A08}" name=" 305 Осмотр радиатора ДВС, интеркуллера, масляного радиатора"/>
    <tableColumn id="56" xr3:uid="{F15FA93C-6017-492B-B7BC-166CA4ED6832}" name=" 305 Неисправность "/>
    <tableColumn id="57" xr3:uid="{B2FC96A3-7C31-4547-85B9-6310D51B1D31}" name=" 305 Список необходимых з.ч. и/или работ "/>
    <tableColumn id="58" xr3:uid="{6995C5E4-B142-47AC-92D8-14B52DF5E0A5}" name=" 305 Фото неисправности "/>
    <tableColumn id="59" xr3:uid="{31AC0634-85DD-4366-8518-B0BF1A4BDDA2}" name=" 306 Осмотр крышки радиатора"/>
    <tableColumn id="60" xr3:uid="{E01D483F-611A-4FD9-A7A1-17B13386DD8D}" name=" 306 Неисправность "/>
    <tableColumn id="61" xr3:uid="{ABC72CE4-C70C-41D2-B2A0-D9EE0B1AF2B3}" name=" 306 Список необходимых з.ч. и/или работ "/>
    <tableColumn id="62" xr3:uid="{DA7DC191-F168-4CE8-9FF1-CEB6A0ACDAF7}" name=" 306 Фото неисправности "/>
    <tableColumn id="63" xr3:uid="{804857FD-C6DD-4335-8ED9-165F3DB4B937}" name=" 307 Осмотр верхнего и нижнего патрубков радиатора и патрубков масляного радиатора"/>
    <tableColumn id="64" xr3:uid="{24E322F1-7FB3-4ABE-B19A-C112E019C752}" name=" 307 Неисправность "/>
    <tableColumn id="65" xr3:uid="{A25F996F-7F51-4E24-883F-508CBA74F96C}" name=" 307 Список необходимых з.ч. и/или работ "/>
    <tableColumn id="66" xr3:uid="{2545F798-75CC-4975-B773-B57FB662E435}" name=" 307 Фото неисправности "/>
    <tableColumn id="67" xr3:uid="{A92D325E-9C61-4749-982C-5E4E6E4E32C5}" name=" 308 Осмотр линии интеркуллера"/>
    <tableColumn id="68" xr3:uid="{D72A1A94-695F-4BC9-A0A6-B552423D663D}" name=" 308 Неисправность "/>
    <tableColumn id="69" xr3:uid="{29D27749-4F39-4FA6-A232-FFDBAF008014}" name=" 308 Список необходимых з.ч. и/или работ "/>
    <tableColumn id="70" xr3:uid="{859D9A5C-1AB7-4085-A7F4-529226BB9175}" name=" 308 Фото неисправности "/>
    <tableColumn id="71" xr3:uid="{79D62A2F-297F-452B-B52F-863536D070D8}" name=" 309 Осмотр воздухоочистителя и фильтра"/>
    <tableColumn id="72" xr3:uid="{0F403F75-9319-45CF-A195-28182049BFA5}" name=" 309 Неисправность "/>
    <tableColumn id="73" xr3:uid="{BC0A6B95-A3A5-4585-9EA1-18721ADAB173}" name=" 309 Список необходимых з.ч. и/или работ "/>
    <tableColumn id="74" xr3:uid="{4277E4C9-BB70-4D2F-992F-C59C11249281}" name=" 309 Фото неисправности "/>
    <tableColumn id="75" xr3:uid="{9B9F2DB7-EB35-410D-9AF4-11611BD7576B}" name=" 310 Осмотр головки блока цилиндров и клапанной крышки"/>
    <tableColumn id="76" xr3:uid="{9E24EA91-4ADA-4102-A0C5-44CC3EFBA8D7}" name=" 310 Неисправность "/>
    <tableColumn id="77" xr3:uid="{056545EC-B62D-4661-A477-EEF674D28814}" name=" 310 Список необходимых з.ч. и/или работ "/>
    <tableColumn id="78" xr3:uid="{00036A76-F139-43A2-B4FD-9550B292D171}" name=" 310 Фото неисправности "/>
    <tableColumn id="79" xr3:uid="{A09D6EDF-4E16-42F8-B6D1-FDCD6DF3D1C2}" name=" 311 Осмотр передней плиты ДВС"/>
    <tableColumn id="80" xr3:uid="{FF6992B6-4B26-4617-8B7A-F2F9AE7DF25E}" name=" 311 Неисправность "/>
    <tableColumn id="81" xr3:uid="{E5E35C92-E2CE-482F-85DA-D690F5770772}" name=" 311 Список необходимых з.ч. и/или работ "/>
    <tableColumn id="82" xr3:uid="{08824F17-8066-4250-942C-4D3869047593}" name=" 311 Фото неисправности "/>
    <tableColumn id="83" xr3:uid="{BE8FBE04-B28F-4CAE-999E-F4B101C361D9}" name=" 312 Осмотр задней плиты ДВС"/>
    <tableColumn id="84" xr3:uid="{6C3C4259-2674-4C52-B6CA-263A3DF15F56}" name=" 312 Неисправность "/>
    <tableColumn id="85" xr3:uid="{8C2FE1CE-6D18-4DE1-90D3-A23D8379DDA3}" name=" 312 Список необходимых з.ч. и/или работ "/>
    <tableColumn id="86" xr3:uid="{A2A984AA-334F-4ACB-9D70-FEA64B8A86B0}" name=" 312 Фото неисправности "/>
    <tableColumn id="87" xr3:uid="{E4EFC077-F103-461B-8E5B-3900498D68FA}" name=" 313 Осмотр поддона масляного"/>
    <tableColumn id="88" xr3:uid="{79011C3D-ABCC-4D0E-8034-09C10C405B8E}" name=" 313 Неисправность "/>
    <tableColumn id="89" xr3:uid="{7942CBFD-3C47-432C-B2C3-1E08BF516144}" name=" 313 Список необходимых з.ч. и/или работ "/>
    <tableColumn id="90" xr3:uid="{69AC4DAC-0C24-4426-B5CF-B05ED853568C}" name=" 313 Фото неисправности "/>
    <tableColumn id="91" xr3:uid="{31095180-127A-44CB-B0A0-BC76E0167DE3}" name=" 314 Осмотр турбокомпрессора"/>
    <tableColumn id="92" xr3:uid="{84AFF0E8-728F-443C-8C48-BA7CD3060D94}" name=" 314 Неисправность "/>
    <tableColumn id="93" xr3:uid="{EC031346-4EA2-49A4-8276-868099D43B89}" name=" 314 Список необходимых з.ч. и/или работ "/>
    <tableColumn id="94" xr3:uid="{0C6A7EC1-D3A4-446F-A09B-2E7C0395CC06}" name=" 314 Фото неисправности "/>
    <tableColumn id="95" xr3:uid="{BE5F15ED-F31C-4D86-AD01-03B96035EE48}" name=" 315 Осмотр выпускного коллектора"/>
    <tableColumn id="96" xr3:uid="{E5E0A694-0FDF-49E8-891B-728517CF7645}" name=" 315 Неисправность "/>
    <tableColumn id="97" xr3:uid="{FA8DFAD9-C026-444F-AD4B-C27474E54A40}" name=" 315 Список необходимых з.ч. и/или работ "/>
    <tableColumn id="98" xr3:uid="{80CAA0CF-B9AE-4F8D-ABB6-0059C1B507EA}" name=" 315 Фото неисправности "/>
    <tableColumn id="99" xr3:uid="{05483341-97F7-461D-B556-AD1179F72726}" name=" 316 Осмотр шкивов, ремней и муфты компрессора"/>
    <tableColumn id="100" xr3:uid="{6FA8FD67-83AB-4C5D-83CC-44CC63168D21}" name=" 316 Неисправность "/>
    <tableColumn id="101" xr3:uid="{60E95E94-C1DD-46BD-84B6-4D3C83B73482}" name=" 316 Список необходимых з.ч. и/или работ "/>
    <tableColumn id="102" xr3:uid="{D3B3DF72-38C8-4CCB-9969-37C6FA1C2E54}" name=" 316 Фото неисправности "/>
    <tableColumn id="103" xr3:uid="{83486062-EC5B-4A3B-BBC5-DE3F7DCBF5B1}" name=" 317 Осмотр водяного насоса"/>
    <tableColumn id="104" xr3:uid="{6808FA6F-F044-4D89-B1F2-4358876CD3F0}" name=" 317 Неисправность "/>
    <tableColumn id="105" xr3:uid="{897722F2-6353-4C8C-8857-DA4664AF80FD}" name=" 317 Список необходимых з.ч. и/или работ "/>
    <tableColumn id="106" xr3:uid="{05853680-CD2C-4DEF-A27B-80E7E49196AE}" name=" 317 Фото неисправности "/>
    <tableColumn id="107" xr3:uid="{200CE7A2-80C0-48C4-B79C-FA42BAC275A2}" name=" 318 Осмотр жгута проводов двигателя"/>
    <tableColumn id="108" xr3:uid="{C4AC741D-C278-4A91-95FA-72A33A934DDF}" name=" 318 Неисправность "/>
    <tableColumn id="109" xr3:uid="{8EDE6465-3EF4-47CB-BB30-A616261915B1}" name=" 318 Список необходимых з.ч. и/или работ "/>
    <tableColumn id="110" xr3:uid="{0A328035-EBE0-482B-9DE0-9D0168F7E7E3}" name=" 318 Фото неисправности "/>
    <tableColumn id="111" xr3:uid="{16FD8E6A-3C87-4AC8-9412-BC98883193F4}" name=" 319 Осмотр топливопроводов и топливного насоса"/>
    <tableColumn id="112" xr3:uid="{AB61C4FF-B2B3-4BB5-B9E4-F483261DE0C0}" name=" 319 Неисправность "/>
    <tableColumn id="113" xr3:uid="{4E7CDF21-2137-4B69-B6AD-9EFB96314595}" name=" 319 Список необходимых з.ч. и/или работ "/>
    <tableColumn id="114" xr3:uid="{4084A074-D9BB-4CD4-9BC7-2160A1EB5B76}" name=" 319 Фото неисправности "/>
    <tableColumn id="115" xr3:uid="{E390A660-3B3B-4146-8976-ECBBA4899FB4}" name=" 401 Осмотр бортовой передачи и ведущей звездочки"/>
    <tableColumn id="116" xr3:uid="{452B7745-4AA9-4A50-B4A3-F0F22903C8CB}" name=" 401 Неисправность "/>
    <tableColumn id="117" xr3:uid="{EB262B56-012B-446C-B559-558A6F72230A}" name=" 401 Список необходимых з.ч. и/или работ "/>
    <tableColumn id="118" xr3:uid="{742F6A29-898D-4416-B564-0E5D4B047051}" name=" 401 Фото неисправности "/>
    <tableColumn id="119" xr3:uid="{99448CB2-D499-4C4C-AEA2-6C65D123D0C6}" name=" 402 Осмотр поддерживающих катков"/>
    <tableColumn id="120" xr3:uid="{2086EC64-814B-48BE-9649-8AD430F26F58}" name=" 402 Неисправность "/>
    <tableColumn id="121" xr3:uid="{3B5B714A-8999-4261-A3A2-E8CE913FC1F9}" name=" 402 Список необходимых з.ч. и/или работ "/>
    <tableColumn id="122" xr3:uid="{6B814767-135D-4362-A9E6-CCDAB48F68B1}" name=" 402 Фото неисправности "/>
    <tableColumn id="123" xr3:uid="{3B1A302D-ADCD-426D-8ABE-23B1C10E01F4}" name=" 403 Осмотр опорных катков"/>
    <tableColumn id="124" xr3:uid="{E2974592-5080-4A2F-ADE4-3F9A725CBB38}" name=" 403 Неисправность "/>
    <tableColumn id="125" xr3:uid="{C4DA2B1A-9FAE-49AB-8502-62D121D66872}" name=" 403 Список необходимых з.ч. и/или работ "/>
    <tableColumn id="126" xr3:uid="{704B58F0-EE15-4F1D-B933-0004A7C90F30}" name=" 403 Фото неисправности "/>
    <tableColumn id="127" xr3:uid="{D85FD79F-2C66-42EC-95BD-63F93B9EA772}" name=" 404 Осмотр тележки с гусеничными катками"/>
    <tableColumn id="128" xr3:uid="{0D88B81E-AC3A-4A94-9CB2-7BC9669F8FA7}" name=" 404 Неисправность "/>
    <tableColumn id="129" xr3:uid="{747B7B3C-4585-4B80-A3BF-37C9B22B26C4}" name=" 404 Список необходимых з.ч. и/или работ "/>
    <tableColumn id="130" xr3:uid="{A478A140-B4B2-46FF-90F3-139A0608D5C0}" name=" 404 Фото неисправности "/>
    <tableColumn id="131" xr3:uid="{8F144B9B-CFC5-4207-9743-D6A475CC93BC}" name=" 405 Осмотр передних натяжных колес"/>
    <tableColumn id="132" xr3:uid="{2B24DC39-5DD4-46B2-BCB7-269F4619AF9B}" name=" 405 Неисправность "/>
    <tableColumn id="133" xr3:uid="{4D3D46A5-1A97-4C75-AB47-3F0E4E424535}" name=" 405 Список необходимых з.ч. и/или работ "/>
    <tableColumn id="134" xr3:uid="{C81C0F7D-A546-44FA-A206-3ED95AD8ACC0}" name=" 405 Фото неисправности "/>
    <tableColumn id="135" xr3:uid="{F95AA7AB-F083-43AF-8DA1-90ECE810230E}" name=" 406 Осмотр направляющих и отбойников гусеничных лент"/>
    <tableColumn id="136" xr3:uid="{457A5979-A3C1-485D-9ACC-359B37C604CA}" name=" 406 Неисправность "/>
    <tableColumn id="137" xr3:uid="{AAC13A94-F6CD-484B-95DE-4FFDAB88595C}" name=" 406 Список необходимых з.ч. и/или работ "/>
    <tableColumn id="138" xr3:uid="{ACF84C9D-C881-43D7-B9AC-BC7EF33E85BA}" name=" 406 Фото неисправности "/>
    <tableColumn id="139" xr3:uid="{1F7FFEEA-58C0-4769-9FB9-5FF2905BA5D6}" name=" 407 Осмотр башмаков гусеницы"/>
    <tableColumn id="140" xr3:uid="{1C4BAFCA-00B2-4880-91A6-137FF21E1B08}" name=" 407 Неисправность "/>
    <tableColumn id="141" xr3:uid="{4EA3A05E-5F5E-4083-BC2D-BE36AE19E149}" name=" 407 Список необходимых з.ч. и/или работ "/>
    <tableColumn id="142" xr3:uid="{EA056AF3-3029-4417-BD09-076739C1115C}" name=" 407 Фото неисправности "/>
    <tableColumn id="143" xr3:uid="{7B6CE095-618E-4183-B709-AD81A3FAA4E9}" name=" 408 Осмотр звена гусеницы/пальца/втулки"/>
    <tableColumn id="144" xr3:uid="{E9A2DA5F-6242-47EB-9DF8-3BCE29A16447}" name=" 408 Неисправность "/>
    <tableColumn id="145" xr3:uid="{42AE36A8-FCBC-4811-B427-8A9C92CF4636}" name=" 408 Список необходимых з.ч. и/или работ "/>
    <tableColumn id="146" xr3:uid="{14323D1B-9CB1-4C7F-9B5B-EAF9F83DE54E}" name=" 408 Фото неисправности "/>
    <tableColumn id="147" xr3:uid="{063637CA-DFCD-49B7-999B-30D605D709FC}" name=" 409 Осмотр рамы ходовой тележки опорных катков"/>
    <tableColumn id="148" xr3:uid="{351836C1-7790-4D1A-B02B-D5E51EF22880}" name=" 409 Неисправность "/>
    <tableColumn id="149" xr3:uid="{5F4013AD-65D9-495A-B42C-F1DCF59FED46}" name=" 409 Список необходимых з.ч. и/или работ "/>
    <tableColumn id="150" xr3:uid="{106BE1C5-6519-49E3-9A49-1636CBB2535C}" name=" 409 Фото неисправности "/>
    <tableColumn id="151" xr3:uid="{71CA1CC7-A0CD-4004-8B59-315B6704099C}" name=" 410 Осмотр балансирной балки"/>
    <tableColumn id="152" xr3:uid="{67A55796-9BAA-4455-AB1D-604F8996A98A}" name=" 410 Неисправность "/>
    <tableColumn id="153" xr3:uid="{A74D7A29-F5A3-458B-AAF2-2CD590CEF55E}" name=" 410 Список необходимых з.ч. и/или работ "/>
    <tableColumn id="154" xr3:uid="{C967C817-BB9B-4C29-B1BA-EDAC8D25719E}" name=" 410 Фото неисправности "/>
    <tableColumn id="155" xr3:uid="{854F89B7-2B45-4BCE-B3D0-424F8F9C2052}" name=" 411 Осмотр шарниров ходовых телег"/>
    <tableColumn id="156" xr3:uid="{8D2BDBD1-729A-4FC8-9D4B-359D89E411E3}" name=" 411 Неисправность "/>
    <tableColumn id="157" xr3:uid="{D5306278-6492-40FF-AE65-9018506BBED5}" name=" 411 Список необходимых з.ч. и/или работ "/>
    <tableColumn id="158" xr3:uid="{689A95B0-C769-498D-BE16-0AB6787E10D7}" name=" 411 Фото неисправности "/>
    <tableColumn id="159" xr3:uid="{2F740C75-09BC-4E15-A6EA-2BF000B229DF}" name=" 412 Осмотр нижних защит"/>
    <tableColumn id="160" xr3:uid="{E8F4ADFC-6E91-4639-B940-DC3FD34C0F6B}" name=" 412 Неисправность "/>
    <tableColumn id="161" xr3:uid="{C9D4C6DB-4D23-42B2-9A83-B4E201D54BC2}" name=" 412 Список необходимых з.ч. и/или работ "/>
    <tableColumn id="162" xr3:uid="{11FD6756-5B26-4BD1-A820-0610FBBAACAB}" name=" 412 Фото неисправности "/>
    <tableColumn id="163" xr3:uid="{210D5E30-B328-473A-816D-F3E665FCF30A}" name=" 501 Осмотр шарнирных соединений отвала, стабилизатора поперечной устойчивости, цилиндра перекоса отвала"/>
    <tableColumn id="164" xr3:uid="{4B7AEC6B-AF31-4BBD-9694-AD6432384632}" name=" 501 Неисправность "/>
    <tableColumn id="165" xr3:uid="{7FD871AE-3C8B-4E88-8588-98F1D3513AFA}" name=" 501 Список необходимых з.ч. и/или работ "/>
    <tableColumn id="166" xr3:uid="{E190992D-5265-454F-B07F-B6E4717C6785}" name=" 501 Фото неисправности "/>
    <tableColumn id="167" xr3:uid="{BEEC9D06-DD4E-4F54-BA8F-38F276D74F9D}" name=" 502 Осмотр цилиндра подъема отвала"/>
    <tableColumn id="168" xr3:uid="{B87C707A-2866-4008-B949-44A18652162C}" name=" 502 Неисправность "/>
    <tableColumn id="169" xr3:uid="{362C843E-F471-47D8-972B-9BE431CBFA32}" name=" 502 Список необходимых з.ч. и/или работ "/>
    <tableColumn id="170" xr3:uid="{89FBD344-B0C0-4F88-9C34-E80CE678DA27}" name=" 502 Фото неисправности "/>
    <tableColumn id="171" xr3:uid="{CD808E7F-9A6B-4E7F-B773-F5C98A47615C}" name=" 503 Осмотр режущей кромки отвала и подрезных ножей"/>
    <tableColumn id="172" xr3:uid="{CD59365C-E0CB-485E-9D93-5CE3FD82A9D5}" name=" 503 Неисправность "/>
    <tableColumn id="173" xr3:uid="{32968776-3537-4222-A308-C6329D3728DE}" name=" 503 Список необходимых з.ч. и/или работ "/>
    <tableColumn id="174" xr3:uid="{2B623D86-6088-4FBD-B388-0D96948CCF11}" name=" 503 Фото неисправности "/>
    <tableColumn id="175" xr3:uid="{B091BE63-BE25-44D5-975E-FA4FA1B1793D}" name=" 504 Осмотр рыхлителя"/>
    <tableColumn id="176" xr3:uid="{1D805976-D6B0-4AAA-B88B-384B1FD7373F}" name=" 504 Неисправность "/>
    <tableColumn id="177" xr3:uid="{373257C4-B5CE-4FDE-AAB5-EA31FE3B331D}" name=" 504 Список необходимых з.ч. и/или работ "/>
    <tableColumn id="178" xr3:uid="{738D8ECC-123E-411B-8B80-59273AB38B2D}" name=" 504 Фото неисправности "/>
    <tableColumn id="179" xr3:uid="{2A07C17F-87AE-475D-B51E-12A95187ADC5}" name=" 505 Осмотр цилиндра рыхлителя"/>
    <tableColumn id="180" xr3:uid="{82341300-C2ED-4A65-8F1C-501CD6E51576}" name=" 505 Неисправность "/>
    <tableColumn id="181" xr3:uid="{7AFE9D70-EA87-4543-B2F3-8FAC43DBDCE6}" name=" 505 Список необходимых з.ч. и/или работ "/>
    <tableColumn id="182" xr3:uid="{C3D0CE57-0A31-4EB2-BA58-B6989D0A80EE}" name=" 505 Фото неисправности "/>
    <tableColumn id="183" xr3:uid="{D8A97818-54BE-4381-A587-6890559CC492}" name=" 601 Номера устранённых неисправностей"/>
    <tableColumn id="184" xr3:uid="{E2429138-F38E-4CF3-9780-B9E860A3A982}" name=" Оставить пожелание по использованию формы"/>
    <tableColumn id="185" xr3:uid="{AF01CD61-76AE-44C9-8B00-919CCD921125}" name=" Пожелани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C8068-5048-445E-A26A-E4593D5664B9}" name="Таблица1" displayName="Таблица1" ref="B1:E4" totalsRowShown="0" headerRowDxfId="4" dataDxfId="3">
  <autoFilter ref="B1:E4" xr:uid="{377C8068-5048-445E-A26A-E4593D5664B9}"/>
  <tableColumns count="4">
    <tableColumn id="1" xr3:uid="{7BCE22FA-A182-414E-9278-71760BA24742}" name="Дата"/>
    <tableColumn id="2" xr3:uid="{49B1AB5D-9858-41A5-B576-B8C4C741B0F6}" name="Кол-во полученных инспекций" dataDxfId="2">
      <calculatedColumnFormula>COUNTIF(Таблица!D:D, "&lt;=" &amp;A2)</calculatedColumnFormula>
    </tableColumn>
    <tableColumn id="3" xr3:uid="{07748BF9-C0DF-48B9-BA69-8B62A518650A}" name="Кол-во созданых потребностей номеклатуры" dataDxfId="1">
      <calculatedColumnFormula>COUNTIFS(Таблица!B:B, "&lt;&gt;", Таблица!D:D, "&lt;="&amp;A2)</calculatedColumnFormula>
    </tableColumn>
    <tableColumn id="4" xr3:uid="{508B0410-96A4-42C9-8DB8-B057AA89A3CA}" name="Кол-во согласованых КП" dataDxfId="0">
      <calculatedColumnFormula>COUNTIFS(Таблица!A:A, "&lt;&gt;", Таблица!D:D, "&lt;="&amp;A2)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16"/>
  <sheetViews>
    <sheetView tabSelected="1" workbookViewId="0">
      <selection activeCell="F15" sqref="F15"/>
    </sheetView>
  </sheetViews>
  <sheetFormatPr defaultRowHeight="15" x14ac:dyDescent="0.25"/>
  <cols>
    <col min="1" max="1" width="14" style="2" customWidth="1"/>
    <col min="2" max="2" width="16.85546875" style="1" customWidth="1"/>
    <col min="3" max="3" width="12.85546875" style="2" customWidth="1"/>
    <col min="4" max="4" width="13.28515625" style="20" customWidth="1"/>
    <col min="5" max="5" width="20.28515625" customWidth="1"/>
    <col min="6" max="6" width="10.85546875" style="2" customWidth="1"/>
    <col min="7" max="7" width="18.7109375" style="2" customWidth="1"/>
    <col min="8" max="8" width="23.28515625" style="2" customWidth="1"/>
    <col min="9" max="9" width="12.7109375" style="2" customWidth="1"/>
    <col min="10" max="10" width="8.42578125" style="2" customWidth="1"/>
    <col min="11" max="11" width="14.7109375" style="3" customWidth="1"/>
    <col min="12" max="12" width="21.28515625" customWidth="1"/>
    <col min="13" max="13" width="57.140625" customWidth="1"/>
    <col min="14" max="14" width="35.7109375" customWidth="1"/>
    <col min="15" max="15" width="57.140625" customWidth="1"/>
    <col min="16" max="16" width="43.140625" customWidth="1"/>
    <col min="17" max="17" width="55.85546875" customWidth="1"/>
    <col min="18" max="18" width="42.140625" customWidth="1"/>
    <col min="19" max="19" width="31.42578125" customWidth="1"/>
    <col min="20" max="20" width="22.85546875" customWidth="1"/>
    <col min="21" max="21" width="43.28515625" customWidth="1"/>
    <col min="22" max="22" width="27.7109375" customWidth="1"/>
    <col min="23" max="23" width="29" customWidth="1"/>
    <col min="24" max="24" width="22.85546875" customWidth="1"/>
    <col min="25" max="25" width="43.28515625" customWidth="1"/>
    <col min="26" max="26" width="27.7109375" customWidth="1"/>
    <col min="27" max="27" width="52" customWidth="1"/>
    <col min="28" max="28" width="22.85546875" customWidth="1"/>
    <col min="29" max="29" width="43.28515625" customWidth="1"/>
    <col min="30" max="30" width="27.7109375" customWidth="1"/>
    <col min="31" max="31" width="54.28515625" customWidth="1"/>
    <col min="32" max="32" width="22.85546875" customWidth="1"/>
    <col min="33" max="33" width="43.28515625" customWidth="1"/>
    <col min="34" max="34" width="27.7109375" customWidth="1"/>
    <col min="35" max="35" width="33.28515625" customWidth="1"/>
    <col min="36" max="36" width="22.85546875" customWidth="1"/>
    <col min="37" max="37" width="43.28515625" customWidth="1"/>
    <col min="38" max="38" width="27.7109375" customWidth="1"/>
    <col min="39" max="39" width="29.140625" customWidth="1"/>
    <col min="40" max="40" width="22.85546875" customWidth="1"/>
    <col min="41" max="41" width="43.28515625" customWidth="1"/>
    <col min="42" max="42" width="27.7109375" customWidth="1"/>
    <col min="43" max="43" width="32.28515625" customWidth="1"/>
    <col min="44" max="44" width="22.85546875" customWidth="1"/>
    <col min="45" max="45" width="43.28515625" customWidth="1"/>
    <col min="46" max="46" width="27.7109375" customWidth="1"/>
    <col min="47" max="47" width="47.42578125" customWidth="1"/>
    <col min="48" max="48" width="22.85546875" customWidth="1"/>
    <col min="49" max="49" width="43.28515625" customWidth="1"/>
    <col min="50" max="50" width="27.7109375" customWidth="1"/>
    <col min="51" max="51" width="44.5703125" customWidth="1"/>
    <col min="52" max="52" width="22.85546875" customWidth="1"/>
    <col min="53" max="53" width="43.28515625" customWidth="1"/>
    <col min="54" max="54" width="27.7109375" customWidth="1"/>
    <col min="55" max="55" width="57.140625" customWidth="1"/>
    <col min="56" max="56" width="22.85546875" customWidth="1"/>
    <col min="57" max="57" width="43.28515625" customWidth="1"/>
    <col min="58" max="58" width="27.7109375" customWidth="1"/>
    <col min="59" max="59" width="30.85546875" customWidth="1"/>
    <col min="60" max="60" width="22.85546875" customWidth="1"/>
    <col min="61" max="61" width="43.28515625" customWidth="1"/>
    <col min="62" max="62" width="27.7109375" customWidth="1"/>
    <col min="63" max="63" width="57.140625" customWidth="1"/>
    <col min="64" max="64" width="22.85546875" customWidth="1"/>
    <col min="65" max="65" width="43.28515625" customWidth="1"/>
    <col min="66" max="66" width="27.7109375" customWidth="1"/>
    <col min="67" max="67" width="32" customWidth="1"/>
    <col min="68" max="68" width="22.85546875" customWidth="1"/>
    <col min="69" max="69" width="43.28515625" customWidth="1"/>
    <col min="70" max="70" width="27.7109375" customWidth="1"/>
    <col min="71" max="71" width="40.140625" customWidth="1"/>
    <col min="72" max="72" width="22.85546875" customWidth="1"/>
    <col min="73" max="73" width="43.28515625" customWidth="1"/>
    <col min="74" max="74" width="27.7109375" customWidth="1"/>
    <col min="75" max="75" width="56" customWidth="1"/>
    <col min="76" max="76" width="22.85546875" customWidth="1"/>
    <col min="77" max="77" width="43.28515625" customWidth="1"/>
    <col min="78" max="78" width="27.7109375" customWidth="1"/>
    <col min="79" max="79" width="32.28515625" customWidth="1"/>
    <col min="80" max="80" width="22.85546875" customWidth="1"/>
    <col min="81" max="81" width="43.28515625" customWidth="1"/>
    <col min="82" max="82" width="27.7109375" customWidth="1"/>
    <col min="83" max="83" width="30" customWidth="1"/>
    <col min="84" max="84" width="22.85546875" customWidth="1"/>
    <col min="85" max="85" width="43.28515625" customWidth="1"/>
    <col min="86" max="86" width="27.7109375" customWidth="1"/>
    <col min="87" max="87" width="31.28515625" customWidth="1"/>
    <col min="88" max="88" width="22.85546875" customWidth="1"/>
    <col min="89" max="89" width="43.28515625" customWidth="1"/>
    <col min="90" max="90" width="27.7109375" customWidth="1"/>
    <col min="91" max="91" width="30.7109375" customWidth="1"/>
    <col min="92" max="92" width="22.85546875" customWidth="1"/>
    <col min="93" max="93" width="43.28515625" customWidth="1"/>
    <col min="94" max="94" width="27.7109375" customWidth="1"/>
    <col min="95" max="95" width="34.85546875" customWidth="1"/>
    <col min="96" max="96" width="22.85546875" customWidth="1"/>
    <col min="97" max="97" width="43.28515625" customWidth="1"/>
    <col min="98" max="98" width="27.7109375" customWidth="1"/>
    <col min="99" max="99" width="48.7109375" customWidth="1"/>
    <col min="100" max="100" width="22.85546875" customWidth="1"/>
    <col min="101" max="101" width="43.28515625" customWidth="1"/>
    <col min="102" max="102" width="27.7109375" customWidth="1"/>
    <col min="103" max="103" width="28.5703125" customWidth="1"/>
    <col min="104" max="104" width="22.85546875" customWidth="1"/>
    <col min="105" max="105" width="43.28515625" customWidth="1"/>
    <col min="106" max="106" width="27.7109375" customWidth="1"/>
    <col min="107" max="107" width="37" customWidth="1"/>
    <col min="108" max="108" width="22.85546875" customWidth="1"/>
    <col min="109" max="109" width="43.28515625" customWidth="1"/>
    <col min="110" max="110" width="27.7109375" customWidth="1"/>
    <col min="111" max="111" width="48.28515625" customWidth="1"/>
    <col min="112" max="112" width="22.85546875" customWidth="1"/>
    <col min="113" max="113" width="43.28515625" customWidth="1"/>
    <col min="114" max="114" width="27.7109375" customWidth="1"/>
    <col min="115" max="115" width="50.5703125" customWidth="1"/>
    <col min="116" max="116" width="22.85546875" customWidth="1"/>
    <col min="117" max="117" width="43.28515625" customWidth="1"/>
    <col min="118" max="118" width="27.7109375" customWidth="1"/>
    <col min="119" max="119" width="36.42578125" customWidth="1"/>
    <col min="120" max="120" width="22.85546875" customWidth="1"/>
    <col min="121" max="121" width="43.28515625" customWidth="1"/>
    <col min="122" max="122" width="27.7109375" customWidth="1"/>
    <col min="123" max="123" width="28.140625" customWidth="1"/>
    <col min="124" max="124" width="22.85546875" customWidth="1"/>
    <col min="125" max="125" width="43.28515625" customWidth="1"/>
    <col min="126" max="126" width="27.7109375" customWidth="1"/>
    <col min="127" max="127" width="42.7109375" customWidth="1"/>
    <col min="128" max="128" width="22.85546875" customWidth="1"/>
    <col min="129" max="129" width="43.28515625" customWidth="1"/>
    <col min="130" max="130" width="27.7109375" customWidth="1"/>
    <col min="131" max="131" width="37" customWidth="1"/>
    <col min="132" max="132" width="22.85546875" customWidth="1"/>
    <col min="133" max="133" width="43.28515625" customWidth="1"/>
    <col min="134" max="134" width="27.7109375" customWidth="1"/>
    <col min="135" max="135" width="54.85546875" customWidth="1"/>
    <col min="136" max="136" width="22.85546875" customWidth="1"/>
    <col min="137" max="137" width="43.28515625" customWidth="1"/>
    <col min="138" max="138" width="27.7109375" customWidth="1"/>
    <col min="139" max="139" width="31.85546875" customWidth="1"/>
    <col min="140" max="140" width="22.85546875" customWidth="1"/>
    <col min="141" max="141" width="43.28515625" customWidth="1"/>
    <col min="142" max="142" width="27.7109375" customWidth="1"/>
    <col min="143" max="143" width="41.5703125" customWidth="1"/>
    <col min="144" max="144" width="22.85546875" customWidth="1"/>
    <col min="145" max="145" width="43.28515625" customWidth="1"/>
    <col min="146" max="146" width="27.7109375" customWidth="1"/>
    <col min="147" max="147" width="49.28515625" customWidth="1"/>
    <col min="148" max="148" width="22.85546875" customWidth="1"/>
    <col min="149" max="149" width="43.28515625" customWidth="1"/>
    <col min="150" max="150" width="27.7109375" customWidth="1"/>
    <col min="151" max="151" width="31.28515625" customWidth="1"/>
    <col min="152" max="152" width="22.85546875" customWidth="1"/>
    <col min="153" max="153" width="43.28515625" customWidth="1"/>
    <col min="154" max="154" width="27.7109375" customWidth="1"/>
    <col min="155" max="155" width="35.85546875" customWidth="1"/>
    <col min="156" max="156" width="22.85546875" customWidth="1"/>
    <col min="157" max="157" width="43.28515625" customWidth="1"/>
    <col min="158" max="158" width="27.7109375" customWidth="1"/>
    <col min="159" max="159" width="26.42578125" customWidth="1"/>
    <col min="160" max="160" width="22.85546875" customWidth="1"/>
    <col min="161" max="161" width="43.28515625" customWidth="1"/>
    <col min="162" max="162" width="27.7109375" customWidth="1"/>
    <col min="163" max="163" width="57.140625" customWidth="1"/>
    <col min="164" max="164" width="22.85546875" customWidth="1"/>
    <col min="165" max="165" width="43.28515625" customWidth="1"/>
    <col min="166" max="166" width="27.7109375" customWidth="1"/>
    <col min="167" max="167" width="37.28515625" customWidth="1"/>
    <col min="168" max="168" width="22.85546875" customWidth="1"/>
    <col min="169" max="169" width="43.28515625" customWidth="1"/>
    <col min="170" max="170" width="27.7109375" customWidth="1"/>
    <col min="171" max="171" width="53.7109375" customWidth="1"/>
    <col min="172" max="172" width="22.85546875" customWidth="1"/>
    <col min="173" max="173" width="43.28515625" customWidth="1"/>
    <col min="174" max="174" width="27.7109375" customWidth="1"/>
    <col min="175" max="175" width="23.28515625" customWidth="1"/>
    <col min="176" max="176" width="22.85546875" customWidth="1"/>
    <col min="177" max="177" width="43.28515625" customWidth="1"/>
    <col min="178" max="178" width="27.7109375" customWidth="1"/>
    <col min="179" max="179" width="32.28515625" customWidth="1"/>
    <col min="180" max="180" width="22.85546875" customWidth="1"/>
    <col min="181" max="181" width="43.28515625" customWidth="1"/>
    <col min="182" max="182" width="27.7109375" customWidth="1"/>
    <col min="183" max="183" width="40.28515625" customWidth="1"/>
    <col min="184" max="184" width="45.5703125" customWidth="1"/>
    <col min="185" max="185" width="13.28515625" customWidth="1"/>
  </cols>
  <sheetData>
    <row r="1" spans="1:185" s="48" customFormat="1" ht="47.45" customHeight="1" thickBot="1" x14ac:dyDescent="0.3">
      <c r="A1" s="43" t="s">
        <v>20</v>
      </c>
      <c r="B1" s="42" t="s">
        <v>21</v>
      </c>
      <c r="C1" s="44" t="s">
        <v>0</v>
      </c>
      <c r="D1" s="45" t="s">
        <v>1</v>
      </c>
      <c r="E1" s="46" t="s">
        <v>344</v>
      </c>
      <c r="F1" s="44" t="s">
        <v>22</v>
      </c>
      <c r="G1" s="44" t="s">
        <v>23</v>
      </c>
      <c r="H1" s="44" t="s">
        <v>24</v>
      </c>
      <c r="I1" s="44" t="s">
        <v>25</v>
      </c>
      <c r="J1" s="44" t="s">
        <v>276</v>
      </c>
      <c r="K1" s="47" t="s">
        <v>26</v>
      </c>
      <c r="L1" s="46" t="s">
        <v>27</v>
      </c>
      <c r="M1" s="46" t="s">
        <v>28</v>
      </c>
      <c r="N1" s="46" t="s">
        <v>29</v>
      </c>
      <c r="O1" s="46" t="s">
        <v>30</v>
      </c>
      <c r="P1" s="46" t="s">
        <v>31</v>
      </c>
      <c r="Q1" s="46" t="s">
        <v>32</v>
      </c>
      <c r="R1" s="46" t="s">
        <v>33</v>
      </c>
      <c r="S1" s="46" t="s">
        <v>34</v>
      </c>
      <c r="T1" s="46" t="s">
        <v>82</v>
      </c>
      <c r="U1" s="46" t="s">
        <v>83</v>
      </c>
      <c r="V1" s="46" t="s">
        <v>84</v>
      </c>
      <c r="W1" s="46" t="s">
        <v>35</v>
      </c>
      <c r="X1" s="46" t="s">
        <v>85</v>
      </c>
      <c r="Y1" s="46" t="s">
        <v>86</v>
      </c>
      <c r="Z1" s="46" t="s">
        <v>87</v>
      </c>
      <c r="AA1" s="46" t="s">
        <v>36</v>
      </c>
      <c r="AB1" s="46" t="s">
        <v>88</v>
      </c>
      <c r="AC1" s="46" t="s">
        <v>89</v>
      </c>
      <c r="AD1" s="46" t="s">
        <v>90</v>
      </c>
      <c r="AE1" s="46" t="s">
        <v>37</v>
      </c>
      <c r="AF1" s="46" t="s">
        <v>91</v>
      </c>
      <c r="AG1" s="46" t="s">
        <v>92</v>
      </c>
      <c r="AH1" s="46" t="s">
        <v>93</v>
      </c>
      <c r="AI1" s="46" t="s">
        <v>38</v>
      </c>
      <c r="AJ1" s="46" t="s">
        <v>94</v>
      </c>
      <c r="AK1" s="46" t="s">
        <v>95</v>
      </c>
      <c r="AL1" s="46" t="s">
        <v>96</v>
      </c>
      <c r="AM1" s="46" t="s">
        <v>39</v>
      </c>
      <c r="AN1" s="46" t="s">
        <v>97</v>
      </c>
      <c r="AO1" s="46" t="s">
        <v>98</v>
      </c>
      <c r="AP1" s="46" t="s">
        <v>99</v>
      </c>
      <c r="AQ1" s="46" t="s">
        <v>40</v>
      </c>
      <c r="AR1" s="46" t="s">
        <v>100</v>
      </c>
      <c r="AS1" s="46" t="s">
        <v>101</v>
      </c>
      <c r="AT1" s="46" t="s">
        <v>102</v>
      </c>
      <c r="AU1" s="46" t="s">
        <v>41</v>
      </c>
      <c r="AV1" s="46" t="s">
        <v>103</v>
      </c>
      <c r="AW1" s="46" t="s">
        <v>104</v>
      </c>
      <c r="AX1" s="46" t="s">
        <v>105</v>
      </c>
      <c r="AY1" s="46" t="s">
        <v>42</v>
      </c>
      <c r="AZ1" s="46" t="s">
        <v>106</v>
      </c>
      <c r="BA1" s="46" t="s">
        <v>107</v>
      </c>
      <c r="BB1" s="46" t="s">
        <v>108</v>
      </c>
      <c r="BC1" s="46" t="s">
        <v>43</v>
      </c>
      <c r="BD1" s="46" t="s">
        <v>109</v>
      </c>
      <c r="BE1" s="46" t="s">
        <v>110</v>
      </c>
      <c r="BF1" s="46" t="s">
        <v>111</v>
      </c>
      <c r="BG1" s="46" t="s">
        <v>44</v>
      </c>
      <c r="BH1" s="46" t="s">
        <v>112</v>
      </c>
      <c r="BI1" s="46" t="s">
        <v>113</v>
      </c>
      <c r="BJ1" s="46" t="s">
        <v>114</v>
      </c>
      <c r="BK1" s="46" t="s">
        <v>45</v>
      </c>
      <c r="BL1" s="46" t="s">
        <v>115</v>
      </c>
      <c r="BM1" s="46" t="s">
        <v>116</v>
      </c>
      <c r="BN1" s="46" t="s">
        <v>117</v>
      </c>
      <c r="BO1" s="46" t="s">
        <v>46</v>
      </c>
      <c r="BP1" s="46" t="s">
        <v>118</v>
      </c>
      <c r="BQ1" s="46" t="s">
        <v>119</v>
      </c>
      <c r="BR1" s="46" t="s">
        <v>120</v>
      </c>
      <c r="BS1" s="46" t="s">
        <v>47</v>
      </c>
      <c r="BT1" s="46" t="s">
        <v>121</v>
      </c>
      <c r="BU1" s="46" t="s">
        <v>122</v>
      </c>
      <c r="BV1" s="46" t="s">
        <v>123</v>
      </c>
      <c r="BW1" s="46" t="s">
        <v>48</v>
      </c>
      <c r="BX1" s="46" t="s">
        <v>124</v>
      </c>
      <c r="BY1" s="46" t="s">
        <v>125</v>
      </c>
      <c r="BZ1" s="46" t="s">
        <v>126</v>
      </c>
      <c r="CA1" s="46" t="s">
        <v>49</v>
      </c>
      <c r="CB1" s="46" t="s">
        <v>127</v>
      </c>
      <c r="CC1" s="46" t="s">
        <v>128</v>
      </c>
      <c r="CD1" s="46" t="s">
        <v>129</v>
      </c>
      <c r="CE1" s="46" t="s">
        <v>50</v>
      </c>
      <c r="CF1" s="46" t="s">
        <v>130</v>
      </c>
      <c r="CG1" s="46" t="s">
        <v>131</v>
      </c>
      <c r="CH1" s="46" t="s">
        <v>132</v>
      </c>
      <c r="CI1" s="46" t="s">
        <v>51</v>
      </c>
      <c r="CJ1" s="46" t="s">
        <v>133</v>
      </c>
      <c r="CK1" s="46" t="s">
        <v>134</v>
      </c>
      <c r="CL1" s="46" t="s">
        <v>135</v>
      </c>
      <c r="CM1" s="46" t="s">
        <v>52</v>
      </c>
      <c r="CN1" s="46" t="s">
        <v>136</v>
      </c>
      <c r="CO1" s="46" t="s">
        <v>137</v>
      </c>
      <c r="CP1" s="46" t="s">
        <v>138</v>
      </c>
      <c r="CQ1" s="46" t="s">
        <v>53</v>
      </c>
      <c r="CR1" s="46" t="s">
        <v>139</v>
      </c>
      <c r="CS1" s="46" t="s">
        <v>140</v>
      </c>
      <c r="CT1" s="46" t="s">
        <v>141</v>
      </c>
      <c r="CU1" s="46" t="s">
        <v>54</v>
      </c>
      <c r="CV1" s="46" t="s">
        <v>142</v>
      </c>
      <c r="CW1" s="46" t="s">
        <v>143</v>
      </c>
      <c r="CX1" s="46" t="s">
        <v>144</v>
      </c>
      <c r="CY1" s="46" t="s">
        <v>55</v>
      </c>
      <c r="CZ1" s="46" t="s">
        <v>145</v>
      </c>
      <c r="DA1" s="46" t="s">
        <v>146</v>
      </c>
      <c r="DB1" s="46" t="s">
        <v>147</v>
      </c>
      <c r="DC1" s="46" t="s">
        <v>56</v>
      </c>
      <c r="DD1" s="46" t="s">
        <v>148</v>
      </c>
      <c r="DE1" s="46" t="s">
        <v>149</v>
      </c>
      <c r="DF1" s="46" t="s">
        <v>150</v>
      </c>
      <c r="DG1" s="46" t="s">
        <v>57</v>
      </c>
      <c r="DH1" s="46" t="s">
        <v>151</v>
      </c>
      <c r="DI1" s="46" t="s">
        <v>152</v>
      </c>
      <c r="DJ1" s="46" t="s">
        <v>153</v>
      </c>
      <c r="DK1" s="46" t="s">
        <v>58</v>
      </c>
      <c r="DL1" s="46" t="s">
        <v>154</v>
      </c>
      <c r="DM1" s="46" t="s">
        <v>155</v>
      </c>
      <c r="DN1" s="46" t="s">
        <v>156</v>
      </c>
      <c r="DO1" s="46" t="s">
        <v>59</v>
      </c>
      <c r="DP1" s="46" t="s">
        <v>157</v>
      </c>
      <c r="DQ1" s="46" t="s">
        <v>158</v>
      </c>
      <c r="DR1" s="46" t="s">
        <v>159</v>
      </c>
      <c r="DS1" s="46" t="s">
        <v>60</v>
      </c>
      <c r="DT1" s="46" t="s">
        <v>160</v>
      </c>
      <c r="DU1" s="46" t="s">
        <v>161</v>
      </c>
      <c r="DV1" s="46" t="s">
        <v>162</v>
      </c>
      <c r="DW1" s="46" t="s">
        <v>61</v>
      </c>
      <c r="DX1" s="46" t="s">
        <v>163</v>
      </c>
      <c r="DY1" s="46" t="s">
        <v>164</v>
      </c>
      <c r="DZ1" s="46" t="s">
        <v>165</v>
      </c>
      <c r="EA1" s="46" t="s">
        <v>62</v>
      </c>
      <c r="EB1" s="46" t="s">
        <v>166</v>
      </c>
      <c r="EC1" s="46" t="s">
        <v>167</v>
      </c>
      <c r="ED1" s="46" t="s">
        <v>168</v>
      </c>
      <c r="EE1" s="46" t="s">
        <v>63</v>
      </c>
      <c r="EF1" s="46" t="s">
        <v>169</v>
      </c>
      <c r="EG1" s="46" t="s">
        <v>170</v>
      </c>
      <c r="EH1" s="46" t="s">
        <v>171</v>
      </c>
      <c r="EI1" s="46" t="s">
        <v>64</v>
      </c>
      <c r="EJ1" s="46" t="s">
        <v>172</v>
      </c>
      <c r="EK1" s="46" t="s">
        <v>173</v>
      </c>
      <c r="EL1" s="46" t="s">
        <v>174</v>
      </c>
      <c r="EM1" s="46" t="s">
        <v>65</v>
      </c>
      <c r="EN1" s="46" t="s">
        <v>175</v>
      </c>
      <c r="EO1" s="46" t="s">
        <v>176</v>
      </c>
      <c r="EP1" s="46" t="s">
        <v>177</v>
      </c>
      <c r="EQ1" s="46" t="s">
        <v>66</v>
      </c>
      <c r="ER1" s="46" t="s">
        <v>178</v>
      </c>
      <c r="ES1" s="46" t="s">
        <v>179</v>
      </c>
      <c r="ET1" s="46" t="s">
        <v>180</v>
      </c>
      <c r="EU1" s="46" t="s">
        <v>67</v>
      </c>
      <c r="EV1" s="46" t="s">
        <v>181</v>
      </c>
      <c r="EW1" s="46" t="s">
        <v>182</v>
      </c>
      <c r="EX1" s="46" t="s">
        <v>183</v>
      </c>
      <c r="EY1" s="46" t="s">
        <v>68</v>
      </c>
      <c r="EZ1" s="46" t="s">
        <v>184</v>
      </c>
      <c r="FA1" s="46" t="s">
        <v>185</v>
      </c>
      <c r="FB1" s="46" t="s">
        <v>186</v>
      </c>
      <c r="FC1" s="46" t="s">
        <v>69</v>
      </c>
      <c r="FD1" s="46" t="s">
        <v>187</v>
      </c>
      <c r="FE1" s="46" t="s">
        <v>188</v>
      </c>
      <c r="FF1" s="46" t="s">
        <v>189</v>
      </c>
      <c r="FG1" s="46" t="s">
        <v>70</v>
      </c>
      <c r="FH1" s="46" t="s">
        <v>190</v>
      </c>
      <c r="FI1" s="46" t="s">
        <v>191</v>
      </c>
      <c r="FJ1" s="46" t="s">
        <v>192</v>
      </c>
      <c r="FK1" s="46" t="s">
        <v>71</v>
      </c>
      <c r="FL1" s="46" t="s">
        <v>193</v>
      </c>
      <c r="FM1" s="46" t="s">
        <v>194</v>
      </c>
      <c r="FN1" s="46" t="s">
        <v>195</v>
      </c>
      <c r="FO1" s="46" t="s">
        <v>72</v>
      </c>
      <c r="FP1" s="46" t="s">
        <v>196</v>
      </c>
      <c r="FQ1" s="46" t="s">
        <v>197</v>
      </c>
      <c r="FR1" s="46" t="s">
        <v>198</v>
      </c>
      <c r="FS1" s="46" t="s">
        <v>73</v>
      </c>
      <c r="FT1" s="46" t="s">
        <v>199</v>
      </c>
      <c r="FU1" s="46" t="s">
        <v>200</v>
      </c>
      <c r="FV1" s="46" t="s">
        <v>201</v>
      </c>
      <c r="FW1" s="46" t="s">
        <v>74</v>
      </c>
      <c r="FX1" s="46" t="s">
        <v>202</v>
      </c>
      <c r="FY1" s="46" t="s">
        <v>203</v>
      </c>
      <c r="FZ1" s="46" t="s">
        <v>204</v>
      </c>
      <c r="GA1" s="46" t="s">
        <v>75</v>
      </c>
      <c r="GB1" s="46" t="s">
        <v>76</v>
      </c>
      <c r="GC1" s="46" t="s">
        <v>77</v>
      </c>
    </row>
    <row r="2" spans="1:185" ht="15.75" thickTop="1" x14ac:dyDescent="0.25">
      <c r="B2" s="24">
        <v>18</v>
      </c>
      <c r="C2" s="27" t="s">
        <v>207</v>
      </c>
      <c r="D2" s="30">
        <v>45375</v>
      </c>
      <c r="E2" s="33" t="s">
        <v>81</v>
      </c>
      <c r="F2" s="27" t="s">
        <v>208</v>
      </c>
      <c r="G2" s="55">
        <v>1143</v>
      </c>
      <c r="H2" s="27" t="s">
        <v>209</v>
      </c>
      <c r="I2" s="27" t="s">
        <v>210</v>
      </c>
      <c r="J2" s="27"/>
      <c r="K2" s="39" t="s">
        <v>211</v>
      </c>
    </row>
    <row r="3" spans="1:185" ht="15.75" thickBot="1" x14ac:dyDescent="0.3">
      <c r="B3" s="24"/>
      <c r="C3" s="27" t="s">
        <v>213</v>
      </c>
      <c r="D3" s="30">
        <v>45378</v>
      </c>
      <c r="E3" s="33" t="s">
        <v>81</v>
      </c>
      <c r="F3" s="27" t="s">
        <v>3</v>
      </c>
      <c r="G3" s="55">
        <v>25</v>
      </c>
      <c r="H3" s="27" t="s">
        <v>214</v>
      </c>
      <c r="I3" s="27" t="s">
        <v>215</v>
      </c>
      <c r="J3" s="27"/>
      <c r="K3" s="39" t="s">
        <v>216</v>
      </c>
    </row>
    <row r="4" spans="1:185" ht="15.75" thickTop="1" x14ac:dyDescent="0.25">
      <c r="B4" s="8">
        <v>19</v>
      </c>
      <c r="C4" s="28" t="s">
        <v>217</v>
      </c>
      <c r="D4" s="31">
        <v>45378</v>
      </c>
      <c r="E4" s="34" t="s">
        <v>81</v>
      </c>
      <c r="F4" s="36" t="s">
        <v>205</v>
      </c>
      <c r="G4" s="38">
        <v>542</v>
      </c>
      <c r="H4" s="36" t="s">
        <v>218</v>
      </c>
      <c r="I4" s="36" t="s">
        <v>219</v>
      </c>
      <c r="J4" s="36"/>
      <c r="K4" s="40" t="s">
        <v>220</v>
      </c>
    </row>
    <row r="5" spans="1:185" x14ac:dyDescent="0.25">
      <c r="B5" s="9"/>
      <c r="C5" s="12" t="s">
        <v>221</v>
      </c>
      <c r="D5" s="21">
        <v>45380</v>
      </c>
      <c r="E5" s="5" t="s">
        <v>81</v>
      </c>
      <c r="F5" s="14" t="s">
        <v>3</v>
      </c>
      <c r="G5" s="16">
        <v>24</v>
      </c>
      <c r="H5" s="14" t="s">
        <v>4</v>
      </c>
      <c r="I5" s="14" t="s">
        <v>222</v>
      </c>
      <c r="J5" s="14"/>
      <c r="K5" s="18" t="s">
        <v>212</v>
      </c>
    </row>
    <row r="6" spans="1:185" x14ac:dyDescent="0.25">
      <c r="B6" s="10"/>
      <c r="C6" s="11" t="s">
        <v>223</v>
      </c>
      <c r="D6" s="22">
        <v>45380</v>
      </c>
      <c r="E6" s="4" t="s">
        <v>224</v>
      </c>
      <c r="F6" s="13" t="s">
        <v>225</v>
      </c>
      <c r="G6" s="15">
        <v>434</v>
      </c>
      <c r="H6" s="13" t="s">
        <v>226</v>
      </c>
      <c r="I6" s="13"/>
      <c r="J6" s="13"/>
      <c r="K6" s="17" t="s">
        <v>227</v>
      </c>
    </row>
    <row r="7" spans="1:185" x14ac:dyDescent="0.25">
      <c r="B7" s="9"/>
      <c r="C7" s="12" t="s">
        <v>228</v>
      </c>
      <c r="D7" s="21">
        <v>45381</v>
      </c>
      <c r="E7" s="6" t="s">
        <v>229</v>
      </c>
      <c r="F7" s="14" t="s">
        <v>230</v>
      </c>
      <c r="G7" s="16">
        <v>1157</v>
      </c>
      <c r="H7" s="14"/>
      <c r="I7" s="14" t="s">
        <v>231</v>
      </c>
      <c r="J7" s="14"/>
      <c r="K7" s="18" t="s">
        <v>227</v>
      </c>
    </row>
    <row r="8" spans="1:185" x14ac:dyDescent="0.25">
      <c r="B8" s="52">
        <v>56</v>
      </c>
      <c r="C8" s="11" t="s">
        <v>232</v>
      </c>
      <c r="D8" s="22">
        <v>45382</v>
      </c>
      <c r="E8" s="7" t="s">
        <v>233</v>
      </c>
      <c r="F8" s="13" t="s">
        <v>208</v>
      </c>
      <c r="G8" s="15">
        <v>1215</v>
      </c>
      <c r="H8" s="13" t="s">
        <v>234</v>
      </c>
      <c r="I8" s="13" t="s">
        <v>235</v>
      </c>
      <c r="J8" s="13"/>
      <c r="K8" s="17" t="s">
        <v>236</v>
      </c>
    </row>
    <row r="9" spans="1:185" x14ac:dyDescent="0.25">
      <c r="B9" s="26"/>
      <c r="C9" s="11" t="s">
        <v>237</v>
      </c>
      <c r="D9" s="22">
        <v>45393</v>
      </c>
      <c r="E9" s="4" t="s">
        <v>238</v>
      </c>
      <c r="F9" s="13" t="s">
        <v>205</v>
      </c>
      <c r="G9" s="15">
        <v>608</v>
      </c>
      <c r="H9" s="13" t="s">
        <v>239</v>
      </c>
      <c r="I9" s="13" t="s">
        <v>240</v>
      </c>
      <c r="J9" s="13"/>
      <c r="K9" s="17" t="s">
        <v>241</v>
      </c>
    </row>
    <row r="10" spans="1:185" x14ac:dyDescent="0.25">
      <c r="B10" s="25">
        <v>51</v>
      </c>
      <c r="C10" s="11" t="s">
        <v>242</v>
      </c>
      <c r="D10" s="22">
        <v>45395</v>
      </c>
      <c r="E10" s="7" t="s">
        <v>233</v>
      </c>
      <c r="F10" s="13" t="s">
        <v>208</v>
      </c>
      <c r="G10" s="15">
        <v>1214</v>
      </c>
      <c r="H10" s="13" t="s">
        <v>243</v>
      </c>
      <c r="I10" s="13" t="s">
        <v>244</v>
      </c>
      <c r="J10" s="13"/>
      <c r="K10" s="17" t="s">
        <v>245</v>
      </c>
    </row>
    <row r="11" spans="1:185" x14ac:dyDescent="0.25">
      <c r="B11" s="1">
        <v>53</v>
      </c>
      <c r="C11" s="11" t="s">
        <v>246</v>
      </c>
      <c r="D11" s="22">
        <v>45399</v>
      </c>
      <c r="E11" s="7" t="s">
        <v>233</v>
      </c>
      <c r="F11" s="13" t="s">
        <v>208</v>
      </c>
      <c r="G11" s="15">
        <v>1216</v>
      </c>
      <c r="H11" s="13" t="s">
        <v>247</v>
      </c>
      <c r="I11" s="13" t="s">
        <v>248</v>
      </c>
      <c r="J11" s="13"/>
      <c r="K11" s="17" t="s">
        <v>249</v>
      </c>
    </row>
    <row r="12" spans="1:185" x14ac:dyDescent="0.25">
      <c r="B12" s="1">
        <v>64</v>
      </c>
      <c r="C12" s="29" t="s">
        <v>2</v>
      </c>
      <c r="D12" s="32">
        <v>45407</v>
      </c>
      <c r="E12" s="35" t="s">
        <v>81</v>
      </c>
      <c r="F12" s="37" t="s">
        <v>3</v>
      </c>
      <c r="G12" s="56">
        <v>24</v>
      </c>
      <c r="H12" s="37" t="s">
        <v>4</v>
      </c>
      <c r="I12" s="37" t="s">
        <v>5</v>
      </c>
      <c r="J12" s="37" t="s">
        <v>6</v>
      </c>
      <c r="K12" s="41" t="s">
        <v>7</v>
      </c>
      <c r="N12" t="s">
        <v>8</v>
      </c>
      <c r="O12" t="s">
        <v>8</v>
      </c>
      <c r="Q12" t="s">
        <v>9</v>
      </c>
      <c r="S12" t="s">
        <v>78</v>
      </c>
      <c r="W12" t="s">
        <v>78</v>
      </c>
      <c r="AA12" t="s">
        <v>78</v>
      </c>
      <c r="AE12" t="s">
        <v>78</v>
      </c>
      <c r="AM12" t="s">
        <v>78</v>
      </c>
      <c r="AQ12" t="s">
        <v>78</v>
      </c>
      <c r="AU12" t="s">
        <v>78</v>
      </c>
      <c r="AY12" t="s">
        <v>78</v>
      </c>
      <c r="BC12" t="s">
        <v>79</v>
      </c>
      <c r="BD12" t="s">
        <v>10</v>
      </c>
      <c r="BE12" t="s">
        <v>11</v>
      </c>
      <c r="BF12" t="s">
        <v>12</v>
      </c>
      <c r="BG12" t="s">
        <v>78</v>
      </c>
      <c r="BK12" t="s">
        <v>80</v>
      </c>
      <c r="BO12" t="s">
        <v>80</v>
      </c>
      <c r="BS12" t="s">
        <v>80</v>
      </c>
      <c r="BW12" t="s">
        <v>79</v>
      </c>
      <c r="BX12" t="s">
        <v>13</v>
      </c>
      <c r="BY12" t="s">
        <v>14</v>
      </c>
      <c r="BZ12" t="s">
        <v>15</v>
      </c>
      <c r="CA12" t="s">
        <v>80</v>
      </c>
      <c r="CE12" t="s">
        <v>80</v>
      </c>
      <c r="CI12" t="s">
        <v>80</v>
      </c>
      <c r="CM12" t="s">
        <v>80</v>
      </c>
      <c r="CQ12" t="s">
        <v>78</v>
      </c>
      <c r="CU12" t="s">
        <v>80</v>
      </c>
      <c r="CY12" t="s">
        <v>80</v>
      </c>
      <c r="DC12" t="s">
        <v>78</v>
      </c>
      <c r="DG12" t="s">
        <v>79</v>
      </c>
      <c r="DH12" t="s">
        <v>16</v>
      </c>
      <c r="DI12" t="s">
        <v>17</v>
      </c>
      <c r="DJ12" t="s">
        <v>18</v>
      </c>
      <c r="DK12" t="s">
        <v>80</v>
      </c>
      <c r="DO12" t="s">
        <v>80</v>
      </c>
      <c r="DS12" t="s">
        <v>80</v>
      </c>
      <c r="DW12" t="s">
        <v>80</v>
      </c>
      <c r="EA12" t="s">
        <v>80</v>
      </c>
      <c r="EE12" t="s">
        <v>80</v>
      </c>
      <c r="EI12" t="s">
        <v>80</v>
      </c>
      <c r="EM12" t="s">
        <v>80</v>
      </c>
      <c r="EQ12" t="s">
        <v>80</v>
      </c>
      <c r="EU12" t="s">
        <v>80</v>
      </c>
      <c r="EY12" t="s">
        <v>78</v>
      </c>
      <c r="FC12" t="s">
        <v>78</v>
      </c>
      <c r="FG12" t="s">
        <v>78</v>
      </c>
      <c r="FK12" t="s">
        <v>78</v>
      </c>
      <c r="FO12" t="s">
        <v>78</v>
      </c>
      <c r="FS12" t="s">
        <v>80</v>
      </c>
      <c r="FW12" t="s">
        <v>80</v>
      </c>
      <c r="GA12" t="s">
        <v>19</v>
      </c>
      <c r="GB12" t="s">
        <v>6</v>
      </c>
    </row>
    <row r="13" spans="1:185" x14ac:dyDescent="0.25">
      <c r="B13" s="1">
        <v>71</v>
      </c>
      <c r="C13" s="29">
        <v>1721018495</v>
      </c>
      <c r="D13" s="32">
        <v>45410</v>
      </c>
      <c r="E13" s="35" t="s">
        <v>81</v>
      </c>
      <c r="F13" s="37" t="s">
        <v>205</v>
      </c>
      <c r="G13" s="56">
        <v>542</v>
      </c>
      <c r="H13" s="37">
        <v>15</v>
      </c>
      <c r="I13" s="37">
        <v>18756</v>
      </c>
      <c r="J13" s="37" t="s">
        <v>8</v>
      </c>
      <c r="K13" s="41" t="s">
        <v>206</v>
      </c>
    </row>
    <row r="14" spans="1:185" x14ac:dyDescent="0.25">
      <c r="B14" s="1">
        <v>76</v>
      </c>
      <c r="C14" s="2" t="s">
        <v>287</v>
      </c>
      <c r="D14" s="20">
        <v>45417</v>
      </c>
      <c r="E14" s="35" t="s">
        <v>288</v>
      </c>
      <c r="F14" s="2" t="s">
        <v>205</v>
      </c>
      <c r="G14" s="57">
        <v>608</v>
      </c>
      <c r="H14" s="2" t="s">
        <v>239</v>
      </c>
      <c r="I14" s="2" t="s">
        <v>289</v>
      </c>
      <c r="J14" s="2" t="s">
        <v>6</v>
      </c>
      <c r="K14" s="3" t="s">
        <v>290</v>
      </c>
      <c r="L14" t="s">
        <v>291</v>
      </c>
      <c r="M14" t="s">
        <v>292</v>
      </c>
      <c r="N14" t="s">
        <v>6</v>
      </c>
      <c r="O14" t="s">
        <v>6</v>
      </c>
      <c r="Q14" t="s">
        <v>293</v>
      </c>
      <c r="R14" t="s">
        <v>294</v>
      </c>
      <c r="S14" t="s">
        <v>255</v>
      </c>
      <c r="T14" t="s">
        <v>295</v>
      </c>
      <c r="U14" t="s">
        <v>296</v>
      </c>
      <c r="V14" t="s">
        <v>297</v>
      </c>
      <c r="W14" t="s">
        <v>259</v>
      </c>
      <c r="AA14" t="s">
        <v>259</v>
      </c>
      <c r="AE14" t="s">
        <v>259</v>
      </c>
      <c r="AM14" t="s">
        <v>259</v>
      </c>
      <c r="AQ14" t="s">
        <v>259</v>
      </c>
      <c r="AU14" t="s">
        <v>259</v>
      </c>
      <c r="AY14" t="s">
        <v>255</v>
      </c>
      <c r="AZ14" t="s">
        <v>298</v>
      </c>
      <c r="BA14" t="s">
        <v>299</v>
      </c>
      <c r="BB14" t="s">
        <v>300</v>
      </c>
      <c r="BC14" t="s">
        <v>259</v>
      </c>
      <c r="BG14" t="s">
        <v>259</v>
      </c>
      <c r="BK14" t="s">
        <v>259</v>
      </c>
      <c r="BO14" t="s">
        <v>259</v>
      </c>
      <c r="BS14" t="s">
        <v>259</v>
      </c>
      <c r="BW14" t="s">
        <v>259</v>
      </c>
      <c r="CA14" t="s">
        <v>259</v>
      </c>
      <c r="CE14" t="s">
        <v>259</v>
      </c>
      <c r="CI14" t="s">
        <v>259</v>
      </c>
      <c r="CM14" t="s">
        <v>259</v>
      </c>
      <c r="CQ14" t="s">
        <v>259</v>
      </c>
      <c r="CU14" t="s">
        <v>259</v>
      </c>
      <c r="CY14" t="s">
        <v>259</v>
      </c>
      <c r="DC14" t="s">
        <v>259</v>
      </c>
      <c r="DG14" t="s">
        <v>259</v>
      </c>
      <c r="DK14" t="s">
        <v>255</v>
      </c>
      <c r="DL14" t="s">
        <v>301</v>
      </c>
      <c r="DM14" t="s">
        <v>299</v>
      </c>
      <c r="DN14" t="s">
        <v>302</v>
      </c>
      <c r="DO14" t="s">
        <v>259</v>
      </c>
      <c r="DS14" t="s">
        <v>259</v>
      </c>
      <c r="DW14" t="s">
        <v>259</v>
      </c>
      <c r="EA14" t="s">
        <v>259</v>
      </c>
      <c r="EE14" t="s">
        <v>259</v>
      </c>
      <c r="EI14" t="s">
        <v>259</v>
      </c>
      <c r="EM14" t="s">
        <v>259</v>
      </c>
      <c r="EQ14" t="s">
        <v>259</v>
      </c>
      <c r="EU14" t="s">
        <v>259</v>
      </c>
      <c r="EY14" t="s">
        <v>259</v>
      </c>
      <c r="FC14" t="s">
        <v>259</v>
      </c>
      <c r="FG14" t="s">
        <v>259</v>
      </c>
      <c r="FK14" t="s">
        <v>259</v>
      </c>
      <c r="FO14" t="s">
        <v>259</v>
      </c>
      <c r="FS14" t="s">
        <v>259</v>
      </c>
      <c r="FW14" t="s">
        <v>259</v>
      </c>
      <c r="GA14" t="s">
        <v>303</v>
      </c>
      <c r="GB14" t="s">
        <v>6</v>
      </c>
    </row>
    <row r="15" spans="1:185" x14ac:dyDescent="0.25">
      <c r="B15" s="1">
        <v>75</v>
      </c>
      <c r="C15" s="2" t="s">
        <v>307</v>
      </c>
      <c r="D15" s="20">
        <v>45418</v>
      </c>
      <c r="E15" s="54" t="s">
        <v>233</v>
      </c>
      <c r="F15" s="2" t="s">
        <v>208</v>
      </c>
      <c r="G15" s="57">
        <v>1215</v>
      </c>
      <c r="H15" s="2" t="s">
        <v>234</v>
      </c>
      <c r="I15" s="2" t="s">
        <v>250</v>
      </c>
      <c r="J15" s="2" t="s">
        <v>8</v>
      </c>
      <c r="K15" t="s">
        <v>308</v>
      </c>
      <c r="L15" t="s">
        <v>251</v>
      </c>
      <c r="M15" t="s">
        <v>252</v>
      </c>
      <c r="N15" t="s">
        <v>8</v>
      </c>
      <c r="O15" t="s">
        <v>8</v>
      </c>
      <c r="P15" t="s">
        <v>253</v>
      </c>
      <c r="Q15" t="s">
        <v>254</v>
      </c>
      <c r="R15" t="s">
        <v>253</v>
      </c>
      <c r="S15" t="s">
        <v>255</v>
      </c>
      <c r="T15" t="s">
        <v>256</v>
      </c>
      <c r="U15" t="s">
        <v>257</v>
      </c>
      <c r="V15" t="s">
        <v>258</v>
      </c>
      <c r="W15" t="s">
        <v>255</v>
      </c>
      <c r="X15" t="s">
        <v>277</v>
      </c>
      <c r="Y15" t="s">
        <v>278</v>
      </c>
      <c r="Z15" t="s">
        <v>279</v>
      </c>
      <c r="AA15" t="s">
        <v>259</v>
      </c>
      <c r="AE15" t="s">
        <v>259</v>
      </c>
      <c r="AM15" t="s">
        <v>255</v>
      </c>
      <c r="AN15" t="s">
        <v>260</v>
      </c>
      <c r="AO15" t="s">
        <v>261</v>
      </c>
      <c r="AP15" t="s">
        <v>262</v>
      </c>
      <c r="AQ15" t="s">
        <v>263</v>
      </c>
      <c r="AU15" t="s">
        <v>255</v>
      </c>
      <c r="AV15" t="s">
        <v>264</v>
      </c>
      <c r="AW15" t="s">
        <v>265</v>
      </c>
      <c r="AX15" t="s">
        <v>266</v>
      </c>
      <c r="AY15" t="s">
        <v>259</v>
      </c>
      <c r="BC15" t="s">
        <v>259</v>
      </c>
      <c r="BG15" t="s">
        <v>259</v>
      </c>
      <c r="BK15" t="s">
        <v>259</v>
      </c>
      <c r="BO15" t="s">
        <v>259</v>
      </c>
      <c r="BS15" t="s">
        <v>259</v>
      </c>
      <c r="BW15" t="s">
        <v>259</v>
      </c>
      <c r="CA15" t="s">
        <v>259</v>
      </c>
      <c r="CE15" t="s">
        <v>259</v>
      </c>
      <c r="CI15" t="s">
        <v>259</v>
      </c>
      <c r="CM15" t="s">
        <v>255</v>
      </c>
      <c r="CN15" t="s">
        <v>267</v>
      </c>
      <c r="CO15" t="s">
        <v>268</v>
      </c>
      <c r="CP15" t="s">
        <v>269</v>
      </c>
      <c r="CQ15" t="s">
        <v>255</v>
      </c>
      <c r="CR15" t="s">
        <v>280</v>
      </c>
      <c r="CS15" t="s">
        <v>281</v>
      </c>
      <c r="CT15" t="s">
        <v>282</v>
      </c>
      <c r="CU15" t="s">
        <v>263</v>
      </c>
      <c r="CY15" t="s">
        <v>263</v>
      </c>
      <c r="DC15" t="s">
        <v>263</v>
      </c>
      <c r="DG15" t="s">
        <v>255</v>
      </c>
      <c r="DH15" t="s">
        <v>283</v>
      </c>
      <c r="DI15" t="s">
        <v>284</v>
      </c>
      <c r="DJ15" t="s">
        <v>285</v>
      </c>
      <c r="DK15" t="s">
        <v>255</v>
      </c>
      <c r="DL15" t="s">
        <v>309</v>
      </c>
      <c r="DM15" t="s">
        <v>310</v>
      </c>
      <c r="DN15" t="s">
        <v>311</v>
      </c>
      <c r="DO15" t="s">
        <v>259</v>
      </c>
      <c r="DS15" t="s">
        <v>259</v>
      </c>
      <c r="DW15" t="s">
        <v>259</v>
      </c>
      <c r="EA15" t="s">
        <v>259</v>
      </c>
      <c r="EE15" t="s">
        <v>259</v>
      </c>
      <c r="EI15" t="s">
        <v>259</v>
      </c>
      <c r="EM15" t="s">
        <v>259</v>
      </c>
      <c r="EQ15" t="s">
        <v>259</v>
      </c>
      <c r="EU15" t="s">
        <v>259</v>
      </c>
      <c r="EY15" t="s">
        <v>259</v>
      </c>
      <c r="FC15" t="s">
        <v>255</v>
      </c>
      <c r="FD15" t="s">
        <v>270</v>
      </c>
      <c r="FE15" t="s">
        <v>271</v>
      </c>
      <c r="FF15" t="s">
        <v>272</v>
      </c>
      <c r="FG15" t="s">
        <v>259</v>
      </c>
      <c r="FK15" t="s">
        <v>259</v>
      </c>
      <c r="FO15" t="s">
        <v>259</v>
      </c>
      <c r="FS15" t="s">
        <v>259</v>
      </c>
      <c r="FW15" t="s">
        <v>259</v>
      </c>
      <c r="GA15" t="s">
        <v>273</v>
      </c>
      <c r="GB15" t="s">
        <v>8</v>
      </c>
      <c r="GC15" t="s">
        <v>286</v>
      </c>
    </row>
    <row r="16" spans="1:185" x14ac:dyDescent="0.25">
      <c r="C16" s="2" t="s">
        <v>315</v>
      </c>
      <c r="D16" s="20">
        <v>45418</v>
      </c>
      <c r="E16" s="7" t="s">
        <v>233</v>
      </c>
      <c r="F16" s="2" t="s">
        <v>316</v>
      </c>
      <c r="G16" s="57">
        <v>1</v>
      </c>
      <c r="H16" s="2" t="s">
        <v>317</v>
      </c>
      <c r="I16" s="2" t="s">
        <v>318</v>
      </c>
      <c r="J16" s="2" t="s">
        <v>6</v>
      </c>
      <c r="K16" s="3" t="s">
        <v>319</v>
      </c>
      <c r="M16" t="s">
        <v>320</v>
      </c>
      <c r="N16" t="s">
        <v>8</v>
      </c>
      <c r="O16" t="s">
        <v>8</v>
      </c>
      <c r="P16" t="s">
        <v>321</v>
      </c>
      <c r="Q16" t="s">
        <v>322</v>
      </c>
      <c r="S16" t="s">
        <v>259</v>
      </c>
      <c r="W16" t="s">
        <v>259</v>
      </c>
      <c r="AA16" t="s">
        <v>259</v>
      </c>
      <c r="AE16" t="s">
        <v>255</v>
      </c>
      <c r="AF16" t="s">
        <v>323</v>
      </c>
      <c r="AG16" t="s">
        <v>324</v>
      </c>
      <c r="AH16" t="s">
        <v>325</v>
      </c>
      <c r="AI16" t="s">
        <v>255</v>
      </c>
      <c r="AJ16" t="s">
        <v>326</v>
      </c>
      <c r="AK16" t="s">
        <v>324</v>
      </c>
      <c r="AL16" t="s">
        <v>327</v>
      </c>
      <c r="AM16" t="s">
        <v>255</v>
      </c>
      <c r="AN16" t="s">
        <v>328</v>
      </c>
      <c r="AO16" t="s">
        <v>329</v>
      </c>
      <c r="AP16" t="s">
        <v>330</v>
      </c>
      <c r="AQ16" t="s">
        <v>255</v>
      </c>
      <c r="AR16" t="s">
        <v>331</v>
      </c>
      <c r="AS16" t="s">
        <v>332</v>
      </c>
      <c r="AT16" t="s">
        <v>333</v>
      </c>
      <c r="AU16" t="s">
        <v>259</v>
      </c>
      <c r="AY16" t="s">
        <v>259</v>
      </c>
      <c r="BC16" t="s">
        <v>255</v>
      </c>
      <c r="BD16" t="s">
        <v>334</v>
      </c>
      <c r="BE16" t="s">
        <v>335</v>
      </c>
      <c r="BF16" t="s">
        <v>336</v>
      </c>
      <c r="BG16" t="s">
        <v>259</v>
      </c>
      <c r="BK16" t="s">
        <v>259</v>
      </c>
      <c r="BO16" t="s">
        <v>259</v>
      </c>
      <c r="BS16" t="s">
        <v>259</v>
      </c>
      <c r="BW16" t="s">
        <v>259</v>
      </c>
      <c r="CA16" t="s">
        <v>259</v>
      </c>
      <c r="CE16" t="s">
        <v>259</v>
      </c>
      <c r="CI16" t="s">
        <v>259</v>
      </c>
      <c r="CM16" t="s">
        <v>259</v>
      </c>
      <c r="CQ16" t="s">
        <v>259</v>
      </c>
      <c r="CU16" t="s">
        <v>259</v>
      </c>
      <c r="CY16" t="s">
        <v>259</v>
      </c>
      <c r="DC16" t="s">
        <v>259</v>
      </c>
      <c r="DG16" t="s">
        <v>259</v>
      </c>
      <c r="DK16" t="s">
        <v>259</v>
      </c>
      <c r="DO16" t="s">
        <v>259</v>
      </c>
      <c r="DS16" t="s">
        <v>259</v>
      </c>
      <c r="DW16" t="s">
        <v>259</v>
      </c>
      <c r="EA16" t="s">
        <v>259</v>
      </c>
      <c r="EE16" t="s">
        <v>259</v>
      </c>
      <c r="EI16" t="s">
        <v>259</v>
      </c>
      <c r="EM16" t="s">
        <v>259</v>
      </c>
      <c r="EQ16" t="s">
        <v>255</v>
      </c>
      <c r="ER16" t="s">
        <v>337</v>
      </c>
      <c r="ES16" t="s">
        <v>329</v>
      </c>
      <c r="ET16" t="s">
        <v>338</v>
      </c>
      <c r="EU16" t="s">
        <v>259</v>
      </c>
      <c r="EY16" t="s">
        <v>259</v>
      </c>
      <c r="FC16" t="s">
        <v>255</v>
      </c>
      <c r="FD16" t="s">
        <v>339</v>
      </c>
      <c r="FE16" t="s">
        <v>340</v>
      </c>
      <c r="FF16" t="s">
        <v>341</v>
      </c>
      <c r="FG16" t="s">
        <v>259</v>
      </c>
      <c r="FK16" t="s">
        <v>255</v>
      </c>
      <c r="FL16" t="s">
        <v>342</v>
      </c>
      <c r="FM16" t="s">
        <v>329</v>
      </c>
      <c r="FN16" t="s">
        <v>343</v>
      </c>
      <c r="FO16" t="s">
        <v>259</v>
      </c>
      <c r="FS16" t="s">
        <v>259</v>
      </c>
      <c r="FW16" t="s">
        <v>259</v>
      </c>
      <c r="GA16" t="s">
        <v>303</v>
      </c>
      <c r="GB16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782C-E4D8-49E8-9600-1E691687A071}">
  <dimension ref="A3:D64"/>
  <sheetViews>
    <sheetView workbookViewId="0">
      <selection activeCell="B20" sqref="B20"/>
    </sheetView>
  </sheetViews>
  <sheetFormatPr defaultRowHeight="15" x14ac:dyDescent="0.25"/>
  <cols>
    <col min="1" max="1" width="17" style="2" bestFit="1" customWidth="1"/>
    <col min="2" max="2" width="22.7109375" style="2" bestFit="1" customWidth="1"/>
    <col min="3" max="3" width="41.85546875" bestFit="1" customWidth="1"/>
    <col min="4" max="4" width="28.7109375" bestFit="1" customWidth="1"/>
    <col min="5" max="39" width="34.140625" bestFit="1" customWidth="1"/>
    <col min="40" max="40" width="26" bestFit="1" customWidth="1"/>
    <col min="41" max="41" width="38.5703125" bestFit="1" customWidth="1"/>
    <col min="42" max="42" width="35.5703125" bestFit="1" customWidth="1"/>
  </cols>
  <sheetData>
    <row r="3" spans="1:4" x14ac:dyDescent="0.25">
      <c r="A3" s="19" t="s">
        <v>274</v>
      </c>
      <c r="B3" t="s">
        <v>306</v>
      </c>
      <c r="C3" t="s">
        <v>304</v>
      </c>
      <c r="D3" t="s">
        <v>305</v>
      </c>
    </row>
    <row r="4" spans="1:4" x14ac:dyDescent="0.25">
      <c r="A4" s="23">
        <v>45375</v>
      </c>
      <c r="B4">
        <v>0</v>
      </c>
      <c r="C4">
        <v>1</v>
      </c>
      <c r="D4">
        <v>1</v>
      </c>
    </row>
    <row r="5" spans="1:4" x14ac:dyDescent="0.25">
      <c r="A5" s="23">
        <v>45378</v>
      </c>
      <c r="B5">
        <v>0</v>
      </c>
      <c r="C5">
        <v>2</v>
      </c>
      <c r="D5">
        <v>3</v>
      </c>
    </row>
    <row r="6" spans="1:4" x14ac:dyDescent="0.25">
      <c r="A6" s="23">
        <v>45380</v>
      </c>
      <c r="B6">
        <v>0</v>
      </c>
      <c r="C6">
        <v>2</v>
      </c>
      <c r="D6">
        <v>5</v>
      </c>
    </row>
    <row r="7" spans="1:4" x14ac:dyDescent="0.25">
      <c r="A7" s="23">
        <v>45381</v>
      </c>
      <c r="B7">
        <v>0</v>
      </c>
      <c r="C7">
        <v>2</v>
      </c>
      <c r="D7">
        <v>6</v>
      </c>
    </row>
    <row r="8" spans="1:4" x14ac:dyDescent="0.25">
      <c r="A8" s="23">
        <v>45382</v>
      </c>
      <c r="B8">
        <v>0</v>
      </c>
      <c r="C8">
        <v>3</v>
      </c>
      <c r="D8">
        <v>7</v>
      </c>
    </row>
    <row r="9" spans="1:4" x14ac:dyDescent="0.25">
      <c r="A9" s="23">
        <v>45393</v>
      </c>
      <c r="B9">
        <v>0</v>
      </c>
      <c r="C9">
        <v>3</v>
      </c>
      <c r="D9">
        <v>8</v>
      </c>
    </row>
    <row r="10" spans="1:4" x14ac:dyDescent="0.25">
      <c r="A10" s="23">
        <v>45395</v>
      </c>
      <c r="B10">
        <v>0</v>
      </c>
      <c r="C10">
        <v>4</v>
      </c>
      <c r="D10">
        <v>9</v>
      </c>
    </row>
    <row r="11" spans="1:4" x14ac:dyDescent="0.25">
      <c r="A11" s="23">
        <v>45399</v>
      </c>
      <c r="B11">
        <v>0</v>
      </c>
      <c r="C11">
        <v>5</v>
      </c>
      <c r="D11">
        <v>10</v>
      </c>
    </row>
    <row r="12" spans="1:4" x14ac:dyDescent="0.25">
      <c r="A12" s="23">
        <v>45407</v>
      </c>
      <c r="B12">
        <v>0</v>
      </c>
      <c r="C12">
        <v>6</v>
      </c>
      <c r="D12">
        <v>11</v>
      </c>
    </row>
    <row r="13" spans="1:4" x14ac:dyDescent="0.25">
      <c r="A13" s="23">
        <v>45410</v>
      </c>
      <c r="B13">
        <v>0</v>
      </c>
      <c r="C13">
        <v>7</v>
      </c>
      <c r="D13">
        <v>12</v>
      </c>
    </row>
    <row r="14" spans="1:4" x14ac:dyDescent="0.25">
      <c r="A14" s="23">
        <v>45417</v>
      </c>
      <c r="B14">
        <v>0</v>
      </c>
      <c r="C14">
        <v>8</v>
      </c>
      <c r="D14">
        <v>13</v>
      </c>
    </row>
    <row r="15" spans="1:4" x14ac:dyDescent="0.25">
      <c r="A15" s="23">
        <v>45418</v>
      </c>
      <c r="B15">
        <v>0</v>
      </c>
      <c r="C15">
        <v>9</v>
      </c>
      <c r="D15">
        <v>15</v>
      </c>
    </row>
    <row r="16" spans="1:4" x14ac:dyDescent="0.25">
      <c r="A16" s="3" t="s">
        <v>275</v>
      </c>
      <c r="B16"/>
    </row>
    <row r="17" spans="1:2" x14ac:dyDescent="0.25">
      <c r="A17"/>
      <c r="B17"/>
    </row>
    <row r="18" spans="1:2" x14ac:dyDescent="0.25">
      <c r="A18"/>
      <c r="B18"/>
    </row>
    <row r="26" spans="1:2" x14ac:dyDescent="0.25">
      <c r="A26" s="1"/>
      <c r="B26"/>
    </row>
    <row r="27" spans="1:2" x14ac:dyDescent="0.25">
      <c r="A27" s="1"/>
      <c r="B27"/>
    </row>
    <row r="28" spans="1:2" x14ac:dyDescent="0.25">
      <c r="A28" s="1"/>
      <c r="B28"/>
    </row>
    <row r="29" spans="1:2" x14ac:dyDescent="0.25">
      <c r="A29" s="1"/>
      <c r="B29"/>
    </row>
    <row r="30" spans="1:2" x14ac:dyDescent="0.25">
      <c r="A30" s="1"/>
      <c r="B30"/>
    </row>
    <row r="31" spans="1:2" x14ac:dyDescent="0.25">
      <c r="A31" s="1"/>
      <c r="B31"/>
    </row>
    <row r="32" spans="1:2" x14ac:dyDescent="0.25">
      <c r="A32" s="1"/>
      <c r="B32"/>
    </row>
    <row r="33" spans="1:2" x14ac:dyDescent="0.25">
      <c r="A33" s="1"/>
      <c r="B33"/>
    </row>
    <row r="34" spans="1:2" x14ac:dyDescent="0.25">
      <c r="A34" s="1"/>
      <c r="B34"/>
    </row>
    <row r="35" spans="1:2" x14ac:dyDescent="0.25">
      <c r="A35" s="1"/>
      <c r="B35"/>
    </row>
    <row r="36" spans="1:2" x14ac:dyDescent="0.25">
      <c r="A36" s="1"/>
      <c r="B36"/>
    </row>
    <row r="37" spans="1:2" x14ac:dyDescent="0.25">
      <c r="A37" s="1"/>
      <c r="B37"/>
    </row>
    <row r="38" spans="1:2" x14ac:dyDescent="0.25">
      <c r="A38" s="1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</row>
    <row r="54" spans="1:2" x14ac:dyDescent="0.25">
      <c r="A54"/>
    </row>
    <row r="55" spans="1:2" x14ac:dyDescent="0.25">
      <c r="A55"/>
    </row>
    <row r="56" spans="1:2" x14ac:dyDescent="0.25">
      <c r="A56"/>
    </row>
    <row r="57" spans="1:2" x14ac:dyDescent="0.25">
      <c r="A57"/>
    </row>
    <row r="58" spans="1:2" x14ac:dyDescent="0.25">
      <c r="A58"/>
    </row>
    <row r="59" spans="1:2" x14ac:dyDescent="0.25">
      <c r="A59"/>
    </row>
    <row r="60" spans="1:2" x14ac:dyDescent="0.25">
      <c r="A60"/>
    </row>
    <row r="61" spans="1:2" x14ac:dyDescent="0.25">
      <c r="A61"/>
    </row>
    <row r="62" spans="1:2" x14ac:dyDescent="0.25">
      <c r="A62"/>
    </row>
    <row r="63" spans="1:2" x14ac:dyDescent="0.25">
      <c r="A63"/>
    </row>
    <row r="64" spans="1:2" x14ac:dyDescent="0.25">
      <c r="A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0B21-E1C2-499D-94E6-210AAFF3CDE2}">
  <dimension ref="A1"/>
  <sheetViews>
    <sheetView view="pageBreakPreview" zoomScaleNormal="100" zoomScaleSheetLayoutView="100" workbookViewId="0">
      <selection activeCell="O14" sqref="O14"/>
    </sheetView>
  </sheetViews>
  <sheetFormatPr defaultRowHeight="15" x14ac:dyDescent="0.25"/>
  <sheetData/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368-F4A1-4DA8-BEE0-483C9A843401}">
  <dimension ref="A1:E4"/>
  <sheetViews>
    <sheetView workbookViewId="0">
      <selection activeCell="C23" sqref="C23"/>
    </sheetView>
  </sheetViews>
  <sheetFormatPr defaultRowHeight="15" x14ac:dyDescent="0.25"/>
  <cols>
    <col min="1" max="1" width="11.42578125" customWidth="1"/>
    <col min="2" max="2" width="11.7109375" customWidth="1"/>
    <col min="3" max="3" width="30.140625" customWidth="1"/>
    <col min="4" max="4" width="42.85546875" customWidth="1"/>
    <col min="5" max="5" width="24.28515625" customWidth="1"/>
  </cols>
  <sheetData>
    <row r="1" spans="1:5" ht="30" x14ac:dyDescent="0.25">
      <c r="B1" s="44" t="s">
        <v>312</v>
      </c>
      <c r="C1" s="44" t="s">
        <v>305</v>
      </c>
      <c r="D1" s="44" t="s">
        <v>304</v>
      </c>
      <c r="E1" s="44" t="s">
        <v>306</v>
      </c>
    </row>
    <row r="2" spans="1:5" x14ac:dyDescent="0.25">
      <c r="A2" s="49">
        <v>45382</v>
      </c>
      <c r="B2" s="53" t="s">
        <v>313</v>
      </c>
      <c r="C2" s="51">
        <f>COUNTIF(Таблица!D:D, "&lt;=" &amp;A2)</f>
        <v>7</v>
      </c>
      <c r="D2" s="51">
        <f>COUNTIFS(Таблица!B:B, "&lt;&gt;", Таблица!D:D, "&lt;="&amp;A2)</f>
        <v>3</v>
      </c>
      <c r="E2" s="51">
        <f>COUNTIFS(Таблица!A:A, "&lt;&gt;", Таблица!D:D, "&lt;="&amp;A2)</f>
        <v>0</v>
      </c>
    </row>
    <row r="3" spans="1:5" x14ac:dyDescent="0.25">
      <c r="A3" s="49">
        <v>45412</v>
      </c>
      <c r="B3" s="53" t="s">
        <v>314</v>
      </c>
      <c r="C3" s="51">
        <f>COUNTIF(Таблица!D:D, "&lt;=" &amp;A3)</f>
        <v>12</v>
      </c>
      <c r="D3" s="51">
        <f>COUNTIFS(Таблица!B:B, "&lt;&gt;", Таблица!D:D, "&lt;="&amp;A3)</f>
        <v>7</v>
      </c>
      <c r="E3" s="51">
        <f>COUNTIFS(Таблица!A:A, "&lt;&gt;", Таблица!D:D, "&lt;="&amp;A3)</f>
        <v>0</v>
      </c>
    </row>
    <row r="4" spans="1:5" x14ac:dyDescent="0.25">
      <c r="A4" s="49">
        <f ca="1">TODAY()</f>
        <v>45423</v>
      </c>
      <c r="B4" s="50">
        <f ca="1">A4</f>
        <v>45423</v>
      </c>
      <c r="C4" s="51">
        <f ca="1">COUNTIF(Таблица!D:D, "&lt;=" &amp;A4)</f>
        <v>15</v>
      </c>
      <c r="D4" s="51">
        <f ca="1">COUNTIFS(Таблица!B:B, "&lt;&gt;", Таблица!D:D, "&lt;="&amp;A4)</f>
        <v>9</v>
      </c>
      <c r="E4" s="51">
        <f ca="1">COUNTIFS(Таблица!A:A, "&lt;&gt;", Таблица!D:D, "&lt;="&amp;A4)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D25D-02CD-4325-80EF-A3DE13CE58A5}">
  <dimension ref="A1"/>
  <sheetViews>
    <sheetView view="pageBreakPreview" zoomScaleNormal="100" zoomScaleSheetLayoutView="100" workbookViewId="0">
      <selection activeCell="S23" sqref="S23"/>
    </sheetView>
  </sheetViews>
  <sheetFormatPr defaultRowHeight="15" x14ac:dyDescent="0.25"/>
  <sheetData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Таблица</vt:lpstr>
      <vt:lpstr>Сводная по таблице</vt:lpstr>
      <vt:lpstr>Диаграмма по таблице</vt:lpstr>
      <vt:lpstr>Таблица к отчету</vt:lpstr>
      <vt:lpstr>Диаграмма к отчету</vt:lpstr>
      <vt:lpstr>'Диаграмма к отчету'!Область_печати</vt:lpstr>
      <vt:lpstr>'Диаграмма по таблице'!Область_печати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Полевой</cp:lastModifiedBy>
  <cp:lastPrinted>2024-05-06T13:58:28Z</cp:lastPrinted>
  <dcterms:created xsi:type="dcterms:W3CDTF">2024-04-24T03:58:34Z</dcterms:created>
  <dcterms:modified xsi:type="dcterms:W3CDTF">2024-05-11T18:01:26Z</dcterms:modified>
</cp:coreProperties>
</file>